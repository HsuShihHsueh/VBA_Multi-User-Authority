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多使用者權限控制\"/>
    </mc:Choice>
  </mc:AlternateContent>
  <bookViews>
    <workbookView xWindow="0" yWindow="0" windowWidth="19200" windowHeight="6990"/>
  </bookViews>
  <sheets>
    <sheet name="首頁" sheetId="24" r:id="rId1"/>
    <sheet name="權限表" sheetId="25" state="veryHidden" r:id="rId2"/>
    <sheet name="廠長" sheetId="22" state="veryHidden" r:id="rId3"/>
    <sheet name="課長" sheetId="21" state="veryHidden" r:id="rId4"/>
    <sheet name="組長二" sheetId="19" state="veryHidden" r:id="rId5"/>
    <sheet name="組長一" sheetId="20" state="veryHidden" r:id="rId6"/>
    <sheet name="品管" sheetId="18" state="veryHidden" r:id="rId7"/>
    <sheet name="人資" sheetId="23" state="veryHidden" r:id="rId8"/>
    <sheet name="1月" sheetId="16" state="veryHidden" r:id="rId9"/>
    <sheet name="2月" sheetId="54" state="veryHidden" r:id="rId10"/>
    <sheet name="3月" sheetId="55" state="veryHidden" r:id="rId11"/>
    <sheet name="4月" sheetId="56" state="veryHidden" r:id="rId12"/>
    <sheet name="5月" sheetId="57" state="veryHidden" r:id="rId13"/>
    <sheet name="6月" sheetId="58" state="veryHidden" r:id="rId14"/>
    <sheet name="7月" sheetId="59" state="veryHidden" r:id="rId15"/>
    <sheet name="8月" sheetId="60" state="veryHidden" r:id="rId16"/>
    <sheet name="9月" sheetId="61" state="veryHidden" r:id="rId17"/>
    <sheet name="10月" sheetId="62" state="veryHidden" r:id="rId18"/>
    <sheet name="11月" sheetId="63" state="veryHidden" r:id="rId19"/>
    <sheet name="12月" sheetId="64" state="veryHidden" r:id="rId20"/>
    <sheet name="年統計" sheetId="37" state="veryHidden" r:id="rId21"/>
  </sheets>
  <calcPr calcId="162913"/>
</workbook>
</file>

<file path=xl/calcChain.xml><?xml version="1.0" encoding="utf-8"?>
<calcChain xmlns="http://schemas.openxmlformats.org/spreadsheetml/2006/main">
  <c r="A32" i="64" l="1"/>
  <c r="A31" i="64"/>
  <c r="A30" i="64"/>
  <c r="A29" i="64"/>
  <c r="A28" i="64"/>
  <c r="A27" i="64"/>
  <c r="A26" i="64"/>
  <c r="A25" i="64"/>
  <c r="A24" i="64"/>
  <c r="A23" i="64"/>
  <c r="A22" i="64"/>
  <c r="A21" i="64"/>
  <c r="A20" i="64"/>
  <c r="A19" i="64"/>
  <c r="A18" i="64"/>
  <c r="A17" i="64"/>
  <c r="A16" i="64"/>
  <c r="A15" i="64"/>
  <c r="A14" i="64"/>
  <c r="A13" i="64"/>
  <c r="A12" i="64"/>
  <c r="A11" i="64"/>
  <c r="A10" i="64"/>
  <c r="A9" i="64"/>
  <c r="A8" i="64"/>
  <c r="A7" i="64"/>
  <c r="A6" i="64"/>
  <c r="A5" i="64"/>
  <c r="A4" i="64"/>
  <c r="A3" i="64"/>
  <c r="A1" i="64"/>
  <c r="J1" i="64" s="1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1" i="63"/>
  <c r="J1" i="63" s="1"/>
  <c r="A32" i="62"/>
  <c r="A31" i="62"/>
  <c r="A30" i="62"/>
  <c r="A29" i="62"/>
  <c r="A28" i="62"/>
  <c r="A27" i="62"/>
  <c r="A26" i="62"/>
  <c r="A25" i="62"/>
  <c r="A24" i="62"/>
  <c r="A23" i="62"/>
  <c r="A22" i="6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4" i="62"/>
  <c r="A3" i="62"/>
  <c r="A1" i="62"/>
  <c r="J1" i="62" s="1"/>
  <c r="A32" i="61"/>
  <c r="A31" i="61"/>
  <c r="A30" i="61"/>
  <c r="A29" i="61"/>
  <c r="A28" i="61"/>
  <c r="A27" i="61"/>
  <c r="A26" i="61"/>
  <c r="A25" i="61"/>
  <c r="A24" i="61"/>
  <c r="A23" i="61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4" i="61"/>
  <c r="A3" i="61"/>
  <c r="A1" i="61"/>
  <c r="J1" i="61" s="1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A1" i="60"/>
  <c r="J1" i="60" s="1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3" i="59"/>
  <c r="A1" i="59"/>
  <c r="J1" i="59" s="1"/>
  <c r="A32" i="58"/>
  <c r="A31" i="58"/>
  <c r="A30" i="58"/>
  <c r="A29" i="58"/>
  <c r="A28" i="58"/>
  <c r="A27" i="58"/>
  <c r="A26" i="58"/>
  <c r="A25" i="58"/>
  <c r="A24" i="58"/>
  <c r="A23" i="58"/>
  <c r="A22" i="58"/>
  <c r="A21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7" i="58"/>
  <c r="A6" i="58"/>
  <c r="A5" i="58"/>
  <c r="A4" i="58"/>
  <c r="A3" i="58"/>
  <c r="A1" i="58"/>
  <c r="J1" i="58" s="1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4" i="57"/>
  <c r="A3" i="57"/>
  <c r="A1" i="57"/>
  <c r="J1" i="57" s="1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4" i="56"/>
  <c r="A3" i="56"/>
  <c r="A1" i="56"/>
  <c r="J1" i="56" s="1"/>
  <c r="A32" i="55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1" i="55"/>
  <c r="J1" i="55" s="1"/>
  <c r="A32" i="54"/>
  <c r="A31" i="54"/>
  <c r="A30" i="54"/>
  <c r="A29" i="54"/>
  <c r="A28" i="54"/>
  <c r="A27" i="54"/>
  <c r="A26" i="54"/>
  <c r="A25" i="54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5" i="54"/>
  <c r="A4" i="54"/>
  <c r="A3" i="54"/>
  <c r="A1" i="54"/>
  <c r="J1" i="54" s="1"/>
  <c r="G11" i="59"/>
  <c r="B8" i="59"/>
  <c r="C13" i="57"/>
  <c r="D3" i="59"/>
  <c r="C25" i="59"/>
  <c r="B27" i="59"/>
  <c r="D25" i="59"/>
  <c r="F15" i="63"/>
  <c r="B28" i="59"/>
  <c r="G19" i="59"/>
  <c r="E2" i="25"/>
  <c r="D5" i="59"/>
  <c r="B13" i="59"/>
  <c r="F4" i="59"/>
  <c r="G6" i="59"/>
  <c r="F2" i="25"/>
  <c r="E21" i="59"/>
  <c r="G30" i="58"/>
  <c r="B29" i="59"/>
  <c r="F7" i="59"/>
  <c r="C23" i="59"/>
  <c r="C2" i="25"/>
  <c r="D3" i="60"/>
  <c r="F12" i="59"/>
  <c r="C10" i="59"/>
  <c r="F9" i="59"/>
  <c r="C29" i="61"/>
  <c r="F20" i="59"/>
  <c r="B2" i="25"/>
  <c r="E26" i="59"/>
  <c r="G21" i="62"/>
  <c r="F24" i="59"/>
  <c r="D2" i="25"/>
  <c r="G22" i="59"/>
  <c r="G18" i="59"/>
  <c r="D27" i="54"/>
  <c r="A3" i="37" l="1"/>
  <c r="A4" i="37"/>
  <c r="A5" i="37"/>
  <c r="A6" i="37"/>
  <c r="A7" i="37"/>
  <c r="A8" i="37"/>
  <c r="A9" i="37"/>
  <c r="A10" i="37"/>
  <c r="A11" i="37"/>
  <c r="A12" i="37"/>
  <c r="A13" i="37"/>
  <c r="A14" i="37"/>
  <c r="A15" i="37"/>
  <c r="A16" i="37"/>
  <c r="A17" i="37"/>
  <c r="A18" i="37"/>
  <c r="A19" i="37"/>
  <c r="A20" i="37"/>
  <c r="A21" i="37"/>
  <c r="A22" i="37"/>
  <c r="A23" i="37"/>
  <c r="A24" i="37"/>
  <c r="A25" i="37"/>
  <c r="A26" i="37"/>
  <c r="A27" i="37"/>
  <c r="A28" i="37"/>
  <c r="A29" i="37"/>
  <c r="A30" i="37"/>
  <c r="A2" i="37"/>
  <c r="C20" i="61"/>
  <c r="D3" i="62"/>
  <c r="C6" i="61"/>
  <c r="G17" i="62"/>
  <c r="F29" i="62"/>
  <c r="B6" i="54"/>
  <c r="F30" i="61"/>
  <c r="E11" i="61"/>
  <c r="G18" i="62"/>
  <c r="B14" i="62"/>
  <c r="C25" i="61"/>
  <c r="C4" i="61"/>
  <c r="F18" i="61"/>
  <c r="F9" i="62"/>
  <c r="D5" i="61"/>
  <c r="F9" i="61"/>
  <c r="F17" i="61"/>
  <c r="F13" i="62"/>
  <c r="D10" i="61"/>
  <c r="E4" i="62"/>
  <c r="C12" i="61"/>
  <c r="C22" i="62"/>
  <c r="C13" i="61"/>
  <c r="D28" i="61"/>
  <c r="C11" i="61"/>
  <c r="C30" i="62"/>
  <c r="D26" i="61"/>
  <c r="E11" i="62"/>
  <c r="G5" i="61"/>
  <c r="B25" i="62"/>
  <c r="B3" i="61"/>
  <c r="G24" i="62"/>
  <c r="C29" i="62"/>
  <c r="F6" i="61"/>
  <c r="B22" i="61"/>
  <c r="G16" i="54"/>
  <c r="B29" i="61"/>
  <c r="B21" i="61"/>
  <c r="G25" i="62"/>
  <c r="F10" i="62"/>
  <c r="E18" i="62"/>
  <c r="E22" i="62"/>
  <c r="E12" i="62"/>
  <c r="C19" i="61"/>
  <c r="G29" i="61"/>
  <c r="D15" i="62"/>
  <c r="D13" i="62"/>
  <c r="E7" i="61"/>
  <c r="C13" i="54"/>
  <c r="D20" i="62"/>
  <c r="B10" i="62"/>
  <c r="E27" i="61"/>
  <c r="G10" i="62"/>
  <c r="B30" i="61"/>
  <c r="G16" i="62"/>
  <c r="G8" i="61"/>
  <c r="C28" i="61"/>
  <c r="C10" i="62"/>
  <c r="F25" i="61"/>
  <c r="E17" i="61"/>
  <c r="D4" i="61"/>
  <c r="F5" i="62"/>
  <c r="F26" i="62"/>
  <c r="D16" i="62"/>
  <c r="B5" i="61"/>
  <c r="B6" i="62"/>
  <c r="F14" i="62"/>
  <c r="F26" i="61"/>
  <c r="G4" i="62"/>
  <c r="G24" i="54"/>
  <c r="F14" i="61"/>
  <c r="C5" i="54"/>
  <c r="C17" i="62"/>
  <c r="B6" i="61"/>
  <c r="D7" i="62"/>
  <c r="B21" i="62"/>
  <c r="F22" i="61"/>
  <c r="B9" i="62"/>
  <c r="C3" i="61"/>
  <c r="C21" i="61"/>
  <c r="G5" i="62"/>
  <c r="E15" i="61"/>
  <c r="B10" i="61"/>
  <c r="B17" i="62"/>
  <c r="G29" i="62"/>
  <c r="B11" i="62"/>
  <c r="D19" i="62"/>
  <c r="D11" i="54"/>
  <c r="D20" i="61"/>
  <c r="D11" i="62"/>
  <c r="B14" i="61"/>
  <c r="D24" i="62"/>
  <c r="D29" i="62"/>
  <c r="E30" i="62"/>
  <c r="F24" i="61"/>
  <c r="F3" i="61"/>
  <c r="E28" i="62"/>
  <c r="G6" i="62"/>
  <c r="F17" i="54"/>
  <c r="D18" i="61"/>
  <c r="B15" i="62"/>
  <c r="B18" i="61"/>
  <c r="F8" i="61"/>
  <c r="E25" i="61"/>
  <c r="E26" i="62"/>
  <c r="D28" i="62"/>
  <c r="C17" i="61"/>
  <c r="F6" i="62"/>
  <c r="B23" i="62"/>
  <c r="D9" i="62"/>
  <c r="B13" i="61"/>
  <c r="E3" i="61"/>
  <c r="C21" i="62"/>
  <c r="G16" i="61"/>
  <c r="C25" i="62"/>
  <c r="C20" i="54"/>
  <c r="G14" i="62"/>
  <c r="E8" i="62"/>
  <c r="E20" i="62"/>
  <c r="E3" i="62"/>
  <c r="F18" i="62"/>
  <c r="D8" i="62"/>
  <c r="G8" i="54"/>
  <c r="G13" i="62"/>
  <c r="E19" i="61"/>
  <c r="D5" i="62"/>
  <c r="C27" i="61"/>
  <c r="B7" i="62"/>
  <c r="E3" i="54"/>
  <c r="C9" i="61"/>
  <c r="G21" i="61"/>
  <c r="B3" i="62"/>
  <c r="B29" i="62"/>
  <c r="F22" i="62"/>
  <c r="D12" i="62"/>
  <c r="E23" i="61"/>
  <c r="F21" i="62"/>
  <c r="B26" i="61"/>
  <c r="G24" i="61"/>
  <c r="C28" i="54"/>
  <c r="E9" i="61"/>
  <c r="G26" i="62"/>
  <c r="D12" i="61"/>
  <c r="F10" i="61"/>
  <c r="G13" i="61"/>
  <c r="D27" i="62"/>
  <c r="F16" i="61"/>
  <c r="B14" i="54"/>
  <c r="E31" i="61"/>
  <c r="F30" i="62"/>
  <c r="B31" i="62"/>
  <c r="G12" i="62"/>
  <c r="D3" i="54"/>
  <c r="D4" i="62"/>
  <c r="B4" i="61"/>
  <c r="A1" i="16" l="1"/>
  <c r="A3" i="16" l="1"/>
  <c r="A4" i="16"/>
  <c r="A27" i="16"/>
  <c r="A28" i="16"/>
  <c r="A29" i="16"/>
  <c r="A30" i="16"/>
  <c r="A31" i="16"/>
  <c r="A32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4" i="23"/>
  <c r="A4" i="18"/>
  <c r="A4" i="19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4" i="20"/>
  <c r="A30" i="21"/>
  <c r="A31" i="21"/>
  <c r="A32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4" i="21"/>
  <c r="J1" i="16" l="1"/>
  <c r="F12" i="64"/>
  <c r="D15" i="56"/>
  <c r="G31" i="60"/>
  <c r="C3" i="58"/>
  <c r="G20" i="56"/>
  <c r="G28" i="56"/>
  <c r="E19" i="63"/>
  <c r="D12" i="60"/>
  <c r="B21" i="58"/>
  <c r="D7" i="64"/>
  <c r="C9" i="57"/>
  <c r="C14" i="62"/>
  <c r="C3" i="56"/>
  <c r="F3" i="58"/>
  <c r="C18" i="59"/>
  <c r="C14" i="54"/>
  <c r="D18" i="63"/>
  <c r="G29" i="56"/>
  <c r="E8" i="56"/>
  <c r="G7" i="61"/>
  <c r="C23" i="55"/>
  <c r="E24" i="55"/>
  <c r="D10" i="59"/>
  <c r="F18" i="54"/>
  <c r="E20" i="59"/>
  <c r="B30" i="56"/>
  <c r="E29" i="63"/>
  <c r="C9" i="62"/>
  <c r="E30" i="56"/>
  <c r="B11" i="54"/>
  <c r="B28" i="61"/>
  <c r="F11" i="60"/>
  <c r="B11" i="55"/>
  <c r="F30" i="64"/>
  <c r="D30" i="60"/>
  <c r="D30" i="58"/>
  <c r="B7" i="58"/>
  <c r="E31" i="57"/>
  <c r="B27" i="58"/>
  <c r="F20" i="55"/>
  <c r="G14" i="57"/>
  <c r="G18" i="64"/>
  <c r="E31" i="64"/>
  <c r="C8" i="62"/>
  <c r="D17" i="64"/>
  <c r="D15" i="58"/>
  <c r="C22" i="61"/>
  <c r="B4" i="62"/>
  <c r="D30" i="61"/>
  <c r="C31" i="62"/>
  <c r="C30" i="57"/>
  <c r="B20" i="60"/>
  <c r="B12" i="55"/>
  <c r="D31" i="59"/>
  <c r="B31" i="55"/>
  <c r="B8" i="55"/>
  <c r="B22" i="58"/>
  <c r="F14" i="60"/>
  <c r="E7" i="64"/>
  <c r="G20" i="63"/>
  <c r="E18" i="58"/>
  <c r="G10" i="54"/>
  <c r="E18" i="64"/>
  <c r="B5" i="60"/>
  <c r="G4" i="64"/>
  <c r="B8" i="60"/>
  <c r="G3" i="55"/>
  <c r="G8" i="64"/>
  <c r="G28" i="60"/>
  <c r="C24" i="54"/>
  <c r="D30" i="64"/>
  <c r="F28" i="61"/>
  <c r="D17" i="59"/>
  <c r="E14" i="57"/>
  <c r="C22" i="56"/>
  <c r="E19" i="58"/>
  <c r="C31" i="60"/>
  <c r="C11" i="60"/>
  <c r="B4" i="55"/>
  <c r="F27" i="58"/>
  <c r="G10" i="60"/>
  <c r="F25" i="57"/>
  <c r="B19" i="57"/>
  <c r="D20" i="56"/>
  <c r="B20" i="54"/>
  <c r="D8" i="54"/>
  <c r="D13" i="58"/>
  <c r="C26" i="58"/>
  <c r="F7" i="57"/>
  <c r="B13" i="60"/>
  <c r="B10" i="63"/>
  <c r="G16" i="57"/>
  <c r="C26" i="59"/>
  <c r="G12" i="54"/>
  <c r="D14" i="64"/>
  <c r="G5" i="63"/>
  <c r="F23" i="56"/>
  <c r="B13" i="63"/>
  <c r="C20" i="56"/>
  <c r="G22" i="16"/>
  <c r="B11" i="59"/>
  <c r="B27" i="55"/>
  <c r="B14" i="64"/>
  <c r="G20" i="64"/>
  <c r="G12" i="57"/>
  <c r="G9" i="62"/>
  <c r="B16" i="59"/>
  <c r="B30" i="58"/>
  <c r="F28" i="62"/>
  <c r="E10" i="59"/>
  <c r="F27" i="62"/>
  <c r="D25" i="58"/>
  <c r="C17" i="54"/>
  <c r="D11" i="55"/>
  <c r="G9" i="61"/>
  <c r="G28" i="59"/>
  <c r="F21" i="56"/>
  <c r="E23" i="63"/>
  <c r="C18" i="55"/>
  <c r="F6" i="57"/>
  <c r="F11" i="62"/>
  <c r="F8" i="58"/>
  <c r="D29" i="63"/>
  <c r="E28" i="55"/>
  <c r="G19" i="54"/>
  <c r="C6" i="63"/>
  <c r="B30" i="62"/>
  <c r="E12" i="55"/>
  <c r="G12" i="63"/>
  <c r="F24" i="64"/>
  <c r="G14" i="64"/>
  <c r="D11" i="60"/>
  <c r="B6" i="55"/>
  <c r="G16" i="59"/>
  <c r="D19" i="60"/>
  <c r="B23" i="54"/>
  <c r="F3" i="60"/>
  <c r="G3" i="16"/>
  <c r="E29" i="60"/>
  <c r="D28" i="55"/>
  <c r="E29" i="56"/>
  <c r="D23" i="64"/>
  <c r="E14" i="60"/>
  <c r="G11" i="57"/>
  <c r="G15" i="57"/>
  <c r="B14" i="60"/>
  <c r="E11" i="56"/>
  <c r="G24" i="60"/>
  <c r="F9" i="64"/>
  <c r="F29" i="56"/>
  <c r="B16" i="55"/>
  <c r="D9" i="60"/>
  <c r="B18" i="62"/>
  <c r="D30" i="62"/>
  <c r="F31" i="55"/>
  <c r="F15" i="59"/>
  <c r="D23" i="63"/>
  <c r="F15" i="58"/>
  <c r="C16" i="61"/>
  <c r="D24" i="54"/>
  <c r="B12" i="59"/>
  <c r="E3" i="60"/>
  <c r="E26" i="58"/>
  <c r="C6" i="56"/>
  <c r="B13" i="55"/>
  <c r="B7" i="61"/>
  <c r="F14" i="63"/>
  <c r="F11" i="54"/>
  <c r="E24" i="59"/>
  <c r="D10" i="63"/>
  <c r="E22" i="59"/>
  <c r="F31" i="56"/>
  <c r="C20" i="58"/>
  <c r="C13" i="63"/>
  <c r="D9" i="58"/>
  <c r="E30" i="63"/>
  <c r="F8" i="55"/>
  <c r="F19" i="61"/>
  <c r="C19" i="64"/>
  <c r="B18" i="63"/>
  <c r="B20" i="55"/>
  <c r="F7" i="61"/>
  <c r="G9" i="63"/>
  <c r="G10" i="59"/>
  <c r="F30" i="56"/>
  <c r="C9" i="63"/>
  <c r="D21" i="63"/>
  <c r="F8" i="64"/>
  <c r="F12" i="58"/>
  <c r="E10" i="64"/>
  <c r="D18" i="62"/>
  <c r="G9" i="56"/>
  <c r="D6" i="56"/>
  <c r="C27" i="58"/>
  <c r="C5" i="59"/>
  <c r="F24" i="56"/>
  <c r="C11" i="58"/>
  <c r="F4" i="60"/>
  <c r="F23" i="59"/>
  <c r="C22" i="60"/>
  <c r="G23" i="59"/>
  <c r="F16" i="59"/>
  <c r="E18" i="54"/>
  <c r="G25" i="63"/>
  <c r="E28" i="59"/>
  <c r="G25" i="56"/>
  <c r="B9" i="60"/>
  <c r="C31" i="56"/>
  <c r="G5" i="55"/>
  <c r="B9" i="58"/>
  <c r="D7" i="58"/>
  <c r="F30" i="16"/>
  <c r="F5" i="58"/>
  <c r="E19" i="57"/>
  <c r="F5" i="60"/>
  <c r="B28" i="58"/>
  <c r="B29" i="64"/>
  <c r="F12" i="61"/>
  <c r="E31" i="63"/>
  <c r="D22" i="58"/>
  <c r="F24" i="55"/>
  <c r="F13" i="55"/>
  <c r="C9" i="64"/>
  <c r="C9" i="56"/>
  <c r="B28" i="16"/>
  <c r="E11" i="16"/>
  <c r="D3" i="57"/>
  <c r="G15" i="62"/>
  <c r="D16" i="60"/>
  <c r="G13" i="55"/>
  <c r="G26" i="55"/>
  <c r="C28" i="62"/>
  <c r="C27" i="62"/>
  <c r="E5" i="61"/>
  <c r="C26" i="63"/>
  <c r="F12" i="56"/>
  <c r="B15" i="64"/>
  <c r="C23" i="64"/>
  <c r="G8" i="59"/>
  <c r="E25" i="59"/>
  <c r="B7" i="64"/>
  <c r="E4" i="59"/>
  <c r="B20" i="63"/>
  <c r="D16" i="56"/>
  <c r="G6" i="60"/>
  <c r="C25" i="57"/>
  <c r="B23" i="61"/>
  <c r="E16" i="63"/>
  <c r="E31" i="60"/>
  <c r="B23" i="57"/>
  <c r="B8" i="63"/>
  <c r="G27" i="61"/>
  <c r="B25" i="56"/>
  <c r="G31" i="57"/>
  <c r="G11" i="61"/>
  <c r="D28" i="63"/>
  <c r="G28" i="57"/>
  <c r="G17" i="63"/>
  <c r="E20" i="61"/>
  <c r="E15" i="59"/>
  <c r="C20" i="57"/>
  <c r="E22" i="56"/>
  <c r="E19" i="60"/>
  <c r="C29" i="56"/>
  <c r="D17" i="60"/>
  <c r="C24" i="56"/>
  <c r="G31" i="63"/>
  <c r="C24" i="62"/>
  <c r="D30" i="55"/>
  <c r="F29" i="57"/>
  <c r="D18" i="57"/>
  <c r="C20" i="64"/>
  <c r="C20" i="60"/>
  <c r="D7" i="57"/>
  <c r="B11" i="61"/>
  <c r="G25" i="59"/>
  <c r="D25" i="61"/>
  <c r="C20" i="55"/>
  <c r="D23" i="61"/>
  <c r="F20" i="64"/>
  <c r="D9" i="64"/>
  <c r="G8" i="62"/>
  <c r="E10" i="58"/>
  <c r="G14" i="55"/>
  <c r="G17" i="64"/>
  <c r="E8" i="63"/>
  <c r="C19" i="56"/>
  <c r="D29" i="58"/>
  <c r="G14" i="56"/>
  <c r="F7" i="60"/>
  <c r="B27" i="64"/>
  <c r="E29" i="54"/>
  <c r="E28" i="64"/>
  <c r="C27" i="57"/>
  <c r="C6" i="58"/>
  <c r="B23" i="55"/>
  <c r="E26" i="64"/>
  <c r="C4" i="64"/>
  <c r="C27" i="55"/>
  <c r="D17" i="57"/>
  <c r="D5" i="64"/>
  <c r="B15" i="57"/>
  <c r="C23" i="61"/>
  <c r="D16" i="59"/>
  <c r="C10" i="61"/>
  <c r="E7" i="54"/>
  <c r="F25" i="54"/>
  <c r="F3" i="64"/>
  <c r="B7" i="57"/>
  <c r="D21" i="61"/>
  <c r="G26" i="61"/>
  <c r="G9" i="58"/>
  <c r="G7" i="62"/>
  <c r="F29" i="60"/>
  <c r="D15" i="63"/>
  <c r="B9" i="59"/>
  <c r="E24" i="60"/>
  <c r="E25" i="56"/>
  <c r="G24" i="55"/>
  <c r="F5" i="64"/>
  <c r="C29" i="59"/>
  <c r="G29" i="58"/>
  <c r="F28" i="59"/>
  <c r="F10" i="58"/>
  <c r="F11" i="58"/>
  <c r="D24" i="61"/>
  <c r="D24" i="59"/>
  <c r="D11" i="57"/>
  <c r="F8" i="63"/>
  <c r="G24" i="64"/>
  <c r="G9" i="57"/>
  <c r="G4" i="63"/>
  <c r="F19" i="62"/>
  <c r="C21" i="56"/>
  <c r="B13" i="58"/>
  <c r="C15" i="55"/>
  <c r="C21" i="60"/>
  <c r="F9" i="54"/>
  <c r="G18" i="54"/>
  <c r="C11" i="64"/>
  <c r="G23" i="61"/>
  <c r="C25" i="55"/>
  <c r="B24" i="59"/>
  <c r="C6" i="54"/>
  <c r="D18" i="64"/>
  <c r="D30" i="56"/>
  <c r="F17" i="56"/>
  <c r="E29" i="64"/>
  <c r="C22" i="54"/>
  <c r="G30" i="62"/>
  <c r="D13" i="60"/>
  <c r="G22" i="54"/>
  <c r="F8" i="60"/>
  <c r="C18" i="63"/>
  <c r="G23" i="62"/>
  <c r="D18" i="60"/>
  <c r="G26" i="63"/>
  <c r="G5" i="58"/>
  <c r="B19" i="56"/>
  <c r="F31" i="64"/>
  <c r="F6" i="56"/>
  <c r="B22" i="56"/>
  <c r="B19" i="62"/>
  <c r="C22" i="63"/>
  <c r="D8" i="59"/>
  <c r="F19" i="54"/>
  <c r="G16" i="64"/>
  <c r="G8" i="63"/>
  <c r="C26" i="57"/>
  <c r="G29" i="60"/>
  <c r="B9" i="57"/>
  <c r="F22" i="58"/>
  <c r="B27" i="63"/>
  <c r="G7" i="63"/>
  <c r="E21" i="55"/>
  <c r="E10" i="60"/>
  <c r="E16" i="55"/>
  <c r="F10" i="63"/>
  <c r="D25" i="56"/>
  <c r="F11" i="64"/>
  <c r="B25" i="57"/>
  <c r="E6" i="54"/>
  <c r="G27" i="57"/>
  <c r="C28" i="64"/>
  <c r="C15" i="57"/>
  <c r="E12" i="63"/>
  <c r="B7" i="60"/>
  <c r="G26" i="58"/>
  <c r="D27" i="64"/>
  <c r="B20" i="62"/>
  <c r="F24" i="60"/>
  <c r="G29" i="54"/>
  <c r="D19" i="58"/>
  <c r="D12" i="57"/>
  <c r="C25" i="63"/>
  <c r="F10" i="60"/>
  <c r="B19" i="63"/>
  <c r="D21" i="56"/>
  <c r="F16" i="62"/>
  <c r="D5" i="56"/>
  <c r="D4" i="55"/>
  <c r="C14" i="55"/>
  <c r="G24" i="63"/>
  <c r="D9" i="63"/>
  <c r="C15" i="54"/>
  <c r="B6" i="59"/>
  <c r="F25" i="56"/>
  <c r="B6" i="58"/>
  <c r="C23" i="60"/>
  <c r="G13" i="56"/>
  <c r="D26" i="60"/>
  <c r="D21" i="54"/>
  <c r="D3" i="16"/>
  <c r="B31" i="59"/>
  <c r="G13" i="60"/>
  <c r="G25" i="60"/>
  <c r="G29" i="64"/>
  <c r="D27" i="58"/>
  <c r="F26" i="57"/>
  <c r="C8" i="60"/>
  <c r="E23" i="56"/>
  <c r="E21" i="62"/>
  <c r="F9" i="55"/>
  <c r="B30" i="55"/>
  <c r="B11" i="64"/>
  <c r="F28" i="60"/>
  <c r="D17" i="54"/>
  <c r="G14" i="54"/>
  <c r="D24" i="60"/>
  <c r="E20" i="16"/>
  <c r="G20" i="62"/>
  <c r="G29" i="57"/>
  <c r="D19" i="54"/>
  <c r="D23" i="56"/>
  <c r="C3" i="64"/>
  <c r="G5" i="16"/>
  <c r="E4" i="63"/>
  <c r="C15" i="62"/>
  <c r="E17" i="54"/>
  <c r="D31" i="16"/>
  <c r="E28" i="54"/>
  <c r="D21" i="64"/>
  <c r="G15" i="56"/>
  <c r="D14" i="62"/>
  <c r="B23" i="58"/>
  <c r="B18" i="57"/>
  <c r="C19" i="60"/>
  <c r="B6" i="57"/>
  <c r="E23" i="55"/>
  <c r="C26" i="54"/>
  <c r="G8" i="16"/>
  <c r="E24" i="63"/>
  <c r="G27" i="64"/>
  <c r="C12" i="59"/>
  <c r="C6" i="64"/>
  <c r="G21" i="63"/>
  <c r="G28" i="55"/>
  <c r="D13" i="56"/>
  <c r="E10" i="56"/>
  <c r="E7" i="58"/>
  <c r="F20" i="62"/>
  <c r="F14" i="64"/>
  <c r="B15" i="63"/>
  <c r="B11" i="63"/>
  <c r="E3" i="55"/>
  <c r="G30" i="60"/>
  <c r="G8" i="55"/>
  <c r="B19" i="60"/>
  <c r="C8" i="58"/>
  <c r="G3" i="63"/>
  <c r="G30" i="56"/>
  <c r="C21" i="59"/>
  <c r="E20" i="60"/>
  <c r="D3" i="58"/>
  <c r="D12" i="54"/>
  <c r="C11" i="59"/>
  <c r="D23" i="55"/>
  <c r="G11" i="55"/>
  <c r="C30" i="63"/>
  <c r="C10" i="63"/>
  <c r="F21" i="57"/>
  <c r="C5" i="63"/>
  <c r="C4" i="58"/>
  <c r="F28" i="54"/>
  <c r="C26" i="60"/>
  <c r="D22" i="61"/>
  <c r="D18" i="54"/>
  <c r="E11" i="58"/>
  <c r="D15" i="55"/>
  <c r="G28" i="61"/>
  <c r="C12" i="54"/>
  <c r="C24" i="59"/>
  <c r="B7" i="63"/>
  <c r="C19" i="55"/>
  <c r="E8" i="54"/>
  <c r="F16" i="54"/>
  <c r="E18" i="60"/>
  <c r="F6" i="54"/>
  <c r="C16" i="56"/>
  <c r="E11" i="60"/>
  <c r="C14" i="63"/>
  <c r="B26" i="63"/>
  <c r="F19" i="57"/>
  <c r="C19" i="57"/>
  <c r="C4" i="57"/>
  <c r="F29" i="59"/>
  <c r="E20" i="64"/>
  <c r="E25" i="54"/>
  <c r="G3" i="54"/>
  <c r="F19" i="64"/>
  <c r="E21" i="60"/>
  <c r="B19" i="55"/>
  <c r="D31" i="57"/>
  <c r="D11" i="61"/>
  <c r="B19" i="61"/>
  <c r="B31" i="64"/>
  <c r="B9" i="61"/>
  <c r="F18" i="63"/>
  <c r="E30" i="54"/>
  <c r="D22" i="62"/>
  <c r="G8" i="57"/>
  <c r="B3" i="59"/>
  <c r="F28" i="64"/>
  <c r="F18" i="57"/>
  <c r="E4" i="61"/>
  <c r="B28" i="57"/>
  <c r="B18" i="60"/>
  <c r="E27" i="64"/>
  <c r="D23" i="54"/>
  <c r="F31" i="58"/>
  <c r="E20" i="63"/>
  <c r="F26" i="58"/>
  <c r="G30" i="59"/>
  <c r="E9" i="55"/>
  <c r="B30" i="64"/>
  <c r="B13" i="64"/>
  <c r="D27" i="59"/>
  <c r="B4" i="63"/>
  <c r="E5" i="60"/>
  <c r="D6" i="62"/>
  <c r="F16" i="63"/>
  <c r="C8" i="55"/>
  <c r="D14" i="58"/>
  <c r="E27" i="59"/>
  <c r="F17" i="58"/>
  <c r="F17" i="59"/>
  <c r="C5" i="64"/>
  <c r="E5" i="63"/>
  <c r="E26" i="56"/>
  <c r="E20" i="56"/>
  <c r="G19" i="62"/>
  <c r="D6" i="63"/>
  <c r="B22" i="57"/>
  <c r="G5" i="57"/>
  <c r="F15" i="60"/>
  <c r="C29" i="57"/>
  <c r="D29" i="16"/>
  <c r="D8" i="64"/>
  <c r="C30" i="59"/>
  <c r="G20" i="59"/>
  <c r="C4" i="60"/>
  <c r="D30" i="16"/>
  <c r="D5" i="60"/>
  <c r="E5" i="54"/>
  <c r="G13" i="57"/>
  <c r="C10" i="60"/>
  <c r="B21" i="57"/>
  <c r="E20" i="57"/>
  <c r="G17" i="59"/>
  <c r="D26" i="57"/>
  <c r="C7" i="61"/>
  <c r="B26" i="58"/>
  <c r="E14" i="59"/>
  <c r="G3" i="56"/>
  <c r="E10" i="57"/>
  <c r="C16" i="16"/>
  <c r="C7" i="54"/>
  <c r="E20" i="55"/>
  <c r="D23" i="58"/>
  <c r="D22" i="60"/>
  <c r="C3" i="16"/>
  <c r="G5" i="59"/>
  <c r="D9" i="59"/>
  <c r="F23" i="55"/>
  <c r="E20" i="58"/>
  <c r="F4" i="57"/>
  <c r="G27" i="62"/>
  <c r="B5" i="55"/>
  <c r="B15" i="58"/>
  <c r="B28" i="60"/>
  <c r="D11" i="56"/>
  <c r="G23" i="54"/>
  <c r="G17" i="61"/>
  <c r="F9" i="63"/>
  <c r="B12" i="62"/>
  <c r="E22" i="54"/>
  <c r="C25" i="60"/>
  <c r="F8" i="62"/>
  <c r="C13" i="62"/>
  <c r="E18" i="59"/>
  <c r="B26" i="57"/>
  <c r="D26" i="55"/>
  <c r="B4" i="60"/>
  <c r="B7" i="56"/>
  <c r="B15" i="61"/>
  <c r="F9" i="56"/>
  <c r="E3" i="64"/>
  <c r="D15" i="59"/>
  <c r="G14" i="59"/>
  <c r="B16" i="62"/>
  <c r="B17" i="61"/>
  <c r="C28" i="56"/>
  <c r="E17" i="58"/>
  <c r="C23" i="56"/>
  <c r="E30" i="61"/>
  <c r="E22" i="60"/>
  <c r="D17" i="61"/>
  <c r="E27" i="62"/>
  <c r="E16" i="59"/>
  <c r="F23" i="64"/>
  <c r="D17" i="63"/>
  <c r="F25" i="58"/>
  <c r="F31" i="54"/>
  <c r="E5" i="59"/>
  <c r="E23" i="64"/>
  <c r="D6" i="58"/>
  <c r="B4" i="59"/>
  <c r="C25" i="64"/>
  <c r="B7" i="54"/>
  <c r="B26" i="56"/>
  <c r="D27" i="56"/>
  <c r="F19" i="63"/>
  <c r="F25" i="63"/>
  <c r="C27" i="63"/>
  <c r="E12" i="60"/>
  <c r="F23" i="60"/>
  <c r="B25" i="63"/>
  <c r="B28" i="56"/>
  <c r="B31" i="61"/>
  <c r="D22" i="64"/>
  <c r="B22" i="63"/>
  <c r="F14" i="56"/>
  <c r="B3" i="55"/>
  <c r="G8" i="58"/>
  <c r="G4" i="58"/>
  <c r="C17" i="58"/>
  <c r="B18" i="59"/>
  <c r="B4" i="58"/>
  <c r="E14" i="54"/>
  <c r="F13" i="56"/>
  <c r="D25" i="63"/>
  <c r="B19" i="58"/>
  <c r="E25" i="58"/>
  <c r="D19" i="59"/>
  <c r="E11" i="59"/>
  <c r="C22" i="58"/>
  <c r="B27" i="60"/>
  <c r="F4" i="61"/>
  <c r="E4" i="60"/>
  <c r="G25" i="61"/>
  <c r="C31" i="63"/>
  <c r="D28" i="64"/>
  <c r="E12" i="64"/>
  <c r="G27" i="56"/>
  <c r="F28" i="55"/>
  <c r="D15" i="64"/>
  <c r="D21" i="62"/>
  <c r="B12" i="58"/>
  <c r="C12" i="64"/>
  <c r="F28" i="58"/>
  <c r="B31" i="60"/>
  <c r="E23" i="57"/>
  <c r="G23" i="64"/>
  <c r="D12" i="64"/>
  <c r="E3" i="63"/>
  <c r="C15" i="60"/>
  <c r="C6" i="62"/>
  <c r="D7" i="63"/>
  <c r="G15" i="63"/>
  <c r="C20" i="62"/>
  <c r="C30" i="16"/>
  <c r="G3" i="64"/>
  <c r="E13" i="56"/>
  <c r="G26" i="64"/>
  <c r="E29" i="58"/>
  <c r="E5" i="55"/>
  <c r="G26" i="59"/>
  <c r="B27" i="57"/>
  <c r="C22" i="59"/>
  <c r="B10" i="58"/>
  <c r="B21" i="54"/>
  <c r="D24" i="16"/>
  <c r="D11" i="16"/>
  <c r="E20" i="54"/>
  <c r="E7" i="62"/>
  <c r="B27" i="62"/>
  <c r="C13" i="60"/>
  <c r="E28" i="61"/>
  <c r="G12" i="56"/>
  <c r="B23" i="59"/>
  <c r="F6" i="60"/>
  <c r="C18" i="64"/>
  <c r="G20" i="60"/>
  <c r="C12" i="63"/>
  <c r="B19" i="64"/>
  <c r="F15" i="62"/>
  <c r="C18" i="57"/>
  <c r="C13" i="16"/>
  <c r="B28" i="63"/>
  <c r="F17" i="55"/>
  <c r="B14" i="63"/>
  <c r="G15" i="64"/>
  <c r="D20" i="55"/>
  <c r="E16" i="54"/>
  <c r="C5" i="58"/>
  <c r="F26" i="55"/>
  <c r="F17" i="63"/>
  <c r="E26" i="57"/>
  <c r="E6" i="63"/>
  <c r="G3" i="57"/>
  <c r="G19" i="63"/>
  <c r="C30" i="54"/>
  <c r="D12" i="56"/>
  <c r="E28" i="58"/>
  <c r="C11" i="57"/>
  <c r="D14" i="63"/>
  <c r="C21" i="57"/>
  <c r="E6" i="61"/>
  <c r="F8" i="56"/>
  <c r="F28" i="63"/>
  <c r="F21" i="54"/>
  <c r="E27" i="58"/>
  <c r="D6" i="59"/>
  <c r="B16" i="57"/>
  <c r="B20" i="58"/>
  <c r="C21" i="58"/>
  <c r="F18" i="60"/>
  <c r="C23" i="57"/>
  <c r="E15" i="60"/>
  <c r="F29" i="64"/>
  <c r="C29" i="64"/>
  <c r="B10" i="54"/>
  <c r="E14" i="61"/>
  <c r="E29" i="55"/>
  <c r="G23" i="57"/>
  <c r="C13" i="58"/>
  <c r="E26" i="63"/>
  <c r="C7" i="57"/>
  <c r="B31" i="56"/>
  <c r="B11" i="60"/>
  <c r="B23" i="56"/>
  <c r="D8" i="55"/>
  <c r="D11" i="58"/>
  <c r="G7" i="56"/>
  <c r="D20" i="63"/>
  <c r="G15" i="58"/>
  <c r="D30" i="63"/>
  <c r="B26" i="64"/>
  <c r="E7" i="60"/>
  <c r="G24" i="57"/>
  <c r="G9" i="59"/>
  <c r="F6" i="64"/>
  <c r="C31" i="61"/>
  <c r="B16" i="58"/>
  <c r="G13" i="63"/>
  <c r="D28" i="59"/>
  <c r="G7" i="55"/>
  <c r="C4" i="56"/>
  <c r="C3" i="54"/>
  <c r="C9" i="59"/>
  <c r="C11" i="62"/>
  <c r="E23" i="54"/>
  <c r="D10" i="56"/>
  <c r="E4" i="56"/>
  <c r="C8" i="57"/>
  <c r="C6" i="55"/>
  <c r="E17" i="55"/>
  <c r="G27" i="63"/>
  <c r="G5" i="64"/>
  <c r="D7" i="59"/>
  <c r="E4" i="55"/>
  <c r="E5" i="62"/>
  <c r="E19" i="64"/>
  <c r="B31" i="58"/>
  <c r="E17" i="59"/>
  <c r="C28" i="63"/>
  <c r="G15" i="61"/>
  <c r="G23" i="63"/>
  <c r="F24" i="57"/>
  <c r="D12" i="58"/>
  <c r="G9" i="55"/>
  <c r="D31" i="62"/>
  <c r="C3" i="55"/>
  <c r="F21" i="64"/>
  <c r="B8" i="62"/>
  <c r="C8" i="54"/>
  <c r="D3" i="61"/>
  <c r="G18" i="61"/>
  <c r="D30" i="57"/>
  <c r="E24" i="62"/>
  <c r="B11" i="56"/>
  <c r="C13" i="64"/>
  <c r="C19" i="59"/>
  <c r="E16" i="60"/>
  <c r="D14" i="61"/>
  <c r="B24" i="58"/>
  <c r="B12" i="61"/>
  <c r="D18" i="58"/>
  <c r="E12" i="56"/>
  <c r="E30" i="57"/>
  <c r="F15" i="54"/>
  <c r="D14" i="60"/>
  <c r="D22" i="55"/>
  <c r="D14" i="54"/>
  <c r="B29" i="58"/>
  <c r="F22" i="16"/>
  <c r="C9" i="58"/>
  <c r="C21" i="63"/>
  <c r="B28" i="64"/>
  <c r="F27" i="63"/>
  <c r="F17" i="57"/>
  <c r="G21" i="57"/>
  <c r="D29" i="54"/>
  <c r="E12" i="58"/>
  <c r="C30" i="61"/>
  <c r="E10" i="61"/>
  <c r="D9" i="55"/>
  <c r="E13" i="63"/>
  <c r="B26" i="62"/>
  <c r="E19" i="55"/>
  <c r="E25" i="57"/>
  <c r="F27" i="54"/>
  <c r="C14" i="59"/>
  <c r="D16" i="55"/>
  <c r="F23" i="57"/>
  <c r="C7" i="63"/>
  <c r="D9" i="56"/>
  <c r="C26" i="64"/>
  <c r="B5" i="63"/>
  <c r="F27" i="56"/>
  <c r="F25" i="55"/>
  <c r="G22" i="56"/>
  <c r="C5" i="62"/>
  <c r="B26" i="16"/>
  <c r="C8" i="59"/>
  <c r="D27" i="61"/>
  <c r="F11" i="55"/>
  <c r="G31" i="16"/>
  <c r="F3" i="54"/>
  <c r="G22" i="61"/>
  <c r="B13" i="62"/>
  <c r="G10" i="61"/>
  <c r="E30" i="58"/>
  <c r="C18" i="54"/>
  <c r="B26" i="60"/>
  <c r="F16" i="64"/>
  <c r="B15" i="55"/>
  <c r="F12" i="63"/>
  <c r="E25" i="60"/>
  <c r="D8" i="61"/>
  <c r="F31" i="62"/>
  <c r="E17" i="62"/>
  <c r="B3" i="57"/>
  <c r="C12" i="60"/>
  <c r="G12" i="55"/>
  <c r="D4" i="60"/>
  <c r="D7" i="55"/>
  <c r="D13" i="55"/>
  <c r="D8" i="58"/>
  <c r="B17" i="63"/>
  <c r="C23" i="16"/>
  <c r="F4" i="55"/>
  <c r="B13" i="54"/>
  <c r="D4" i="16"/>
  <c r="C15" i="16"/>
  <c r="G19" i="64"/>
  <c r="F11" i="57"/>
  <c r="G25" i="57"/>
  <c r="F20" i="54"/>
  <c r="C9" i="16"/>
  <c r="G10" i="56"/>
  <c r="G29" i="16"/>
  <c r="F3" i="59"/>
  <c r="D17" i="62"/>
  <c r="F21" i="61"/>
  <c r="E16" i="62"/>
  <c r="D18" i="56"/>
  <c r="B15" i="56"/>
  <c r="F10" i="16"/>
  <c r="F7" i="56"/>
  <c r="B17" i="64"/>
  <c r="D12" i="55"/>
  <c r="F14" i="55"/>
  <c r="D23" i="62"/>
  <c r="E9" i="54"/>
  <c r="G29" i="55"/>
  <c r="C17" i="64"/>
  <c r="C7" i="59"/>
  <c r="E11" i="64"/>
  <c r="B20" i="59"/>
  <c r="F15" i="64"/>
  <c r="G3" i="62"/>
  <c r="G18" i="63"/>
  <c r="C23" i="58"/>
  <c r="E9" i="63"/>
  <c r="B23" i="63"/>
  <c r="F25" i="59"/>
  <c r="E29" i="59"/>
  <c r="C8" i="56"/>
  <c r="F14" i="54"/>
  <c r="D24" i="58"/>
  <c r="F13" i="58"/>
  <c r="B26" i="59"/>
  <c r="D31" i="55"/>
  <c r="B16" i="54"/>
  <c r="D10" i="55"/>
  <c r="C11" i="56"/>
  <c r="G17" i="56"/>
  <c r="C4" i="63"/>
  <c r="C7" i="16"/>
  <c r="D20" i="57"/>
  <c r="F11" i="16"/>
  <c r="B12" i="57"/>
  <c r="E11" i="55"/>
  <c r="B22" i="54"/>
  <c r="F7" i="62"/>
  <c r="F30" i="60"/>
  <c r="F7" i="55"/>
  <c r="D23" i="57"/>
  <c r="C28" i="59"/>
  <c r="E29" i="61"/>
  <c r="B16" i="64"/>
  <c r="G4" i="56"/>
  <c r="G12" i="60"/>
  <c r="F18" i="58"/>
  <c r="D27" i="16"/>
  <c r="D17" i="58"/>
  <c r="F7" i="58"/>
  <c r="D26" i="63"/>
  <c r="E7" i="56"/>
  <c r="E5" i="16"/>
  <c r="G6" i="54"/>
  <c r="F30" i="55"/>
  <c r="G11" i="16"/>
  <c r="B10" i="57"/>
  <c r="D21" i="60"/>
  <c r="C29" i="58"/>
  <c r="B16" i="60"/>
  <c r="G3" i="59"/>
  <c r="C21" i="54"/>
  <c r="D19" i="61"/>
  <c r="G6" i="57"/>
  <c r="B3" i="63"/>
  <c r="C26" i="62"/>
  <c r="C31" i="57"/>
  <c r="G4" i="59"/>
  <c r="D6" i="60"/>
  <c r="B17" i="55"/>
  <c r="E4" i="54"/>
  <c r="D8" i="57"/>
  <c r="E22" i="64"/>
  <c r="G3" i="58"/>
  <c r="D9" i="54"/>
  <c r="B12" i="56"/>
  <c r="F9" i="16"/>
  <c r="E9" i="16"/>
  <c r="G16" i="16"/>
  <c r="D17" i="16"/>
  <c r="F4" i="56"/>
  <c r="D10" i="54"/>
  <c r="E15" i="58"/>
  <c r="B24" i="61"/>
  <c r="F23" i="54"/>
  <c r="E14" i="16"/>
  <c r="D30" i="54"/>
  <c r="B4" i="57"/>
  <c r="D31" i="60"/>
  <c r="E25" i="64"/>
  <c r="G17" i="55"/>
  <c r="F16" i="60"/>
  <c r="E27" i="16"/>
  <c r="G5" i="54"/>
  <c r="D19" i="16"/>
  <c r="E22" i="58"/>
  <c r="F3" i="62"/>
  <c r="E17" i="63"/>
  <c r="E10" i="62"/>
  <c r="B5" i="56"/>
  <c r="D10" i="62"/>
  <c r="D15" i="61"/>
  <c r="E7" i="63"/>
  <c r="D11" i="64"/>
  <c r="F4" i="64"/>
  <c r="E15" i="62"/>
  <c r="C28" i="58"/>
  <c r="B12" i="63"/>
  <c r="D22" i="59"/>
  <c r="G25" i="55"/>
  <c r="E19" i="16"/>
  <c r="G13" i="64"/>
  <c r="F9" i="57"/>
  <c r="F14" i="59"/>
  <c r="F6" i="58"/>
  <c r="C24" i="57"/>
  <c r="B13" i="56"/>
  <c r="D3" i="56"/>
  <c r="B8" i="64"/>
  <c r="B24" i="64"/>
  <c r="E12" i="61"/>
  <c r="G20" i="61"/>
  <c r="F31" i="63"/>
  <c r="B18" i="55"/>
  <c r="G26" i="54"/>
  <c r="E24" i="16"/>
  <c r="G17" i="57"/>
  <c r="F13" i="16"/>
  <c r="E30" i="59"/>
  <c r="D14" i="57"/>
  <c r="B15" i="59"/>
  <c r="F28" i="57"/>
  <c r="C25" i="16"/>
  <c r="G19" i="60"/>
  <c r="D28" i="16"/>
  <c r="D29" i="57"/>
  <c r="C6" i="60"/>
  <c r="E13" i="58"/>
  <c r="F8" i="54"/>
  <c r="E4" i="64"/>
  <c r="B13" i="57"/>
  <c r="E13" i="57"/>
  <c r="D22" i="56"/>
  <c r="E26" i="61"/>
  <c r="B22" i="59"/>
  <c r="G11" i="58"/>
  <c r="F29" i="58"/>
  <c r="B3" i="56"/>
  <c r="C27" i="64"/>
  <c r="F31" i="60"/>
  <c r="G21" i="64"/>
  <c r="E30" i="60"/>
  <c r="G4" i="57"/>
  <c r="G22" i="64"/>
  <c r="F13" i="54"/>
  <c r="D26" i="56"/>
  <c r="G25" i="54"/>
  <c r="E12" i="59"/>
  <c r="G6" i="58"/>
  <c r="G15" i="59"/>
  <c r="B7" i="59"/>
  <c r="G21" i="56"/>
  <c r="B17" i="58"/>
  <c r="B10" i="55"/>
  <c r="B8" i="56"/>
  <c r="E27" i="60"/>
  <c r="D22" i="16"/>
  <c r="E17" i="64"/>
  <c r="C9" i="55"/>
  <c r="C22" i="64"/>
  <c r="F11" i="61"/>
  <c r="D26" i="64"/>
  <c r="E14" i="58"/>
  <c r="D10" i="58"/>
  <c r="G27" i="55"/>
  <c r="F31" i="59"/>
  <c r="F25" i="62"/>
  <c r="F16" i="56"/>
  <c r="C12" i="56"/>
  <c r="G20" i="16"/>
  <c r="E4" i="16"/>
  <c r="B23" i="16"/>
  <c r="G7" i="54"/>
  <c r="B15" i="60"/>
  <c r="C18" i="61"/>
  <c r="G11" i="62"/>
  <c r="D16" i="57"/>
  <c r="C17" i="56"/>
  <c r="E27" i="63"/>
  <c r="B31" i="54"/>
  <c r="E21" i="56"/>
  <c r="D13" i="16"/>
  <c r="E5" i="57"/>
  <c r="C7" i="64"/>
  <c r="C3" i="63"/>
  <c r="E31" i="55"/>
  <c r="C31" i="58"/>
  <c r="G7" i="59"/>
  <c r="B16" i="61"/>
  <c r="G31" i="61"/>
  <c r="C15" i="56"/>
  <c r="C14" i="16"/>
  <c r="F27" i="60"/>
  <c r="D30" i="59"/>
  <c r="B12" i="16"/>
  <c r="G27" i="16"/>
  <c r="F30" i="57"/>
  <c r="B9" i="54"/>
  <c r="E25" i="62"/>
  <c r="D28" i="56"/>
  <c r="E31" i="54"/>
  <c r="E19" i="59"/>
  <c r="C22" i="57"/>
  <c r="F23" i="58"/>
  <c r="E30" i="64"/>
  <c r="D25" i="57"/>
  <c r="F19" i="60"/>
  <c r="E4" i="57"/>
  <c r="B25" i="61"/>
  <c r="C4" i="16"/>
  <c r="C4" i="59"/>
  <c r="D13" i="64"/>
  <c r="D25" i="55"/>
  <c r="C28" i="57"/>
  <c r="C20" i="59"/>
  <c r="G7" i="57"/>
  <c r="C14" i="56"/>
  <c r="B9" i="16"/>
  <c r="E31" i="56"/>
  <c r="C24" i="60"/>
  <c r="G13" i="59"/>
  <c r="E21" i="61"/>
  <c r="D20" i="59"/>
  <c r="D14" i="55"/>
  <c r="C12" i="16"/>
  <c r="E28" i="57"/>
  <c r="D19" i="55"/>
  <c r="B28" i="54"/>
  <c r="C11" i="63"/>
  <c r="G15" i="55"/>
  <c r="C16" i="60"/>
  <c r="B27" i="16"/>
  <c r="G5" i="56"/>
  <c r="B24" i="55"/>
  <c r="G10" i="16"/>
  <c r="G7" i="60"/>
  <c r="D15" i="57"/>
  <c r="C8" i="16"/>
  <c r="E15" i="57"/>
  <c r="B21" i="59"/>
  <c r="E18" i="57"/>
  <c r="C14" i="58"/>
  <c r="D20" i="16"/>
  <c r="D25" i="64"/>
  <c r="C15" i="63"/>
  <c r="F21" i="63"/>
  <c r="D15" i="16"/>
  <c r="F10" i="55"/>
  <c r="E7" i="57"/>
  <c r="E22" i="55"/>
  <c r="C16" i="57"/>
  <c r="C18" i="62"/>
  <c r="D25" i="16"/>
  <c r="E23" i="60"/>
  <c r="F17" i="16"/>
  <c r="C27" i="60"/>
  <c r="D22" i="54"/>
  <c r="G28" i="62"/>
  <c r="D5" i="54"/>
  <c r="B26" i="54"/>
  <c r="E4" i="58"/>
  <c r="F4" i="54"/>
  <c r="B19" i="54"/>
  <c r="E9" i="60"/>
  <c r="E8" i="60"/>
  <c r="C4" i="55"/>
  <c r="F18" i="55"/>
  <c r="F29" i="61"/>
  <c r="C5" i="57"/>
  <c r="E14" i="56"/>
  <c r="G17" i="54"/>
  <c r="F26" i="64"/>
  <c r="G22" i="60"/>
  <c r="D5" i="63"/>
  <c r="F3" i="56"/>
  <c r="G4" i="54"/>
  <c r="B24" i="60"/>
  <c r="D7" i="56"/>
  <c r="G16" i="60"/>
  <c r="F3" i="55"/>
  <c r="F19" i="55"/>
  <c r="B10" i="56"/>
  <c r="C26" i="55"/>
  <c r="F21" i="58"/>
  <c r="C31" i="64"/>
  <c r="E8" i="61"/>
  <c r="E3" i="59"/>
  <c r="E14" i="62"/>
  <c r="G10" i="58"/>
  <c r="D31" i="64"/>
  <c r="C7" i="58"/>
  <c r="C7" i="55"/>
  <c r="E7" i="55"/>
  <c r="E18" i="56"/>
  <c r="C10" i="56"/>
  <c r="D13" i="63"/>
  <c r="D18" i="55"/>
  <c r="E13" i="55"/>
  <c r="C8" i="61"/>
  <c r="E9" i="62"/>
  <c r="E15" i="55"/>
  <c r="D17" i="56"/>
  <c r="G31" i="56"/>
  <c r="G22" i="58"/>
  <c r="D13" i="54"/>
  <c r="C10" i="54"/>
  <c r="D4" i="59"/>
  <c r="G6" i="16"/>
  <c r="B8" i="61"/>
  <c r="E16" i="56"/>
  <c r="D29" i="55"/>
  <c r="C12" i="58"/>
  <c r="E19" i="56"/>
  <c r="G9" i="54"/>
  <c r="D26" i="54"/>
  <c r="D18" i="59"/>
  <c r="E18" i="63"/>
  <c r="G24" i="56"/>
  <c r="G30" i="55"/>
  <c r="B9" i="63"/>
  <c r="F10" i="56"/>
  <c r="B29" i="54"/>
  <c r="F12" i="57"/>
  <c r="C4" i="62"/>
  <c r="E17" i="57"/>
  <c r="G11" i="64"/>
  <c r="E13" i="54"/>
  <c r="B5" i="58"/>
  <c r="G23" i="56"/>
  <c r="E8" i="59"/>
  <c r="E8" i="64"/>
  <c r="D4" i="57"/>
  <c r="E18" i="61"/>
  <c r="E16" i="61"/>
  <c r="F23" i="62"/>
  <c r="D8" i="60"/>
  <c r="F17" i="60"/>
  <c r="C5" i="16"/>
  <c r="E19" i="62"/>
  <c r="B29" i="55"/>
  <c r="F7" i="54"/>
  <c r="C30" i="56"/>
  <c r="D4" i="58"/>
  <c r="C30" i="60"/>
  <c r="B22" i="64"/>
  <c r="B20" i="56"/>
  <c r="B3" i="60"/>
  <c r="G28" i="54"/>
  <c r="G13" i="54"/>
  <c r="F24" i="54"/>
  <c r="C28" i="16"/>
  <c r="F22" i="60"/>
  <c r="E28" i="60"/>
  <c r="E13" i="16"/>
  <c r="F16" i="16"/>
  <c r="G19" i="58"/>
  <c r="D28" i="58"/>
  <c r="E10" i="54"/>
  <c r="F19" i="56"/>
  <c r="D29" i="61"/>
  <c r="C29" i="60"/>
  <c r="G24" i="16"/>
  <c r="F23" i="61"/>
  <c r="G27" i="60"/>
  <c r="E21" i="64"/>
  <c r="E29" i="62"/>
  <c r="B26" i="55"/>
  <c r="D5" i="57"/>
  <c r="D13" i="59"/>
  <c r="E12" i="57"/>
  <c r="G25" i="58"/>
  <c r="E23" i="16"/>
  <c r="E8" i="58"/>
  <c r="D13" i="61"/>
  <c r="F13" i="59"/>
  <c r="G23" i="60"/>
  <c r="F22" i="54"/>
  <c r="F5" i="54"/>
  <c r="D26" i="16"/>
  <c r="D27" i="63"/>
  <c r="F26" i="59"/>
  <c r="G14" i="60"/>
  <c r="E16" i="58"/>
  <c r="F6" i="55"/>
  <c r="C3" i="57"/>
  <c r="F24" i="63"/>
  <c r="B22" i="62"/>
  <c r="C14" i="57"/>
  <c r="C21" i="64"/>
  <c r="E7" i="16"/>
  <c r="C10" i="58"/>
  <c r="G17" i="16"/>
  <c r="E17" i="56"/>
  <c r="E10" i="16"/>
  <c r="B14" i="55"/>
  <c r="E13" i="60"/>
  <c r="E24" i="64"/>
  <c r="C12" i="57"/>
  <c r="E27" i="55"/>
  <c r="D24" i="63"/>
  <c r="D29" i="60"/>
  <c r="D28" i="57"/>
  <c r="B6" i="60"/>
  <c r="C13" i="59"/>
  <c r="B6" i="63"/>
  <c r="B23" i="64"/>
  <c r="D19" i="57"/>
  <c r="B25" i="58"/>
  <c r="E30" i="16"/>
  <c r="E23" i="62"/>
  <c r="B5" i="59"/>
  <c r="C7" i="56"/>
  <c r="G28" i="64"/>
  <c r="F8" i="57"/>
  <c r="B18" i="54"/>
  <c r="D16" i="63"/>
  <c r="G20" i="58"/>
  <c r="F10" i="54"/>
  <c r="B8" i="57"/>
  <c r="G12" i="58"/>
  <c r="F31" i="16"/>
  <c r="D16" i="16"/>
  <c r="G22" i="63"/>
  <c r="F30" i="63"/>
  <c r="B21" i="63"/>
  <c r="B11" i="58"/>
  <c r="C27" i="54"/>
  <c r="B9" i="55"/>
  <c r="D31" i="54"/>
  <c r="F18" i="56"/>
  <c r="C23" i="54"/>
  <c r="C9" i="54"/>
  <c r="E22" i="61"/>
  <c r="E21" i="16"/>
  <c r="G14" i="16"/>
  <c r="D9" i="16"/>
  <c r="B21" i="60"/>
  <c r="F24" i="16"/>
  <c r="F5" i="56"/>
  <c r="C12" i="55"/>
  <c r="C14" i="64"/>
  <c r="C18" i="58"/>
  <c r="C29" i="54"/>
  <c r="F6" i="59"/>
  <c r="E13" i="59"/>
  <c r="B24" i="57"/>
  <c r="B5" i="62"/>
  <c r="C24" i="58"/>
  <c r="E26" i="54"/>
  <c r="B30" i="59"/>
  <c r="G19" i="56"/>
  <c r="B31" i="63"/>
  <c r="B18" i="16"/>
  <c r="B14" i="57"/>
  <c r="F5" i="59"/>
  <c r="G18" i="57"/>
  <c r="F22" i="59"/>
  <c r="C25" i="54"/>
  <c r="D12" i="59"/>
  <c r="B20" i="16"/>
  <c r="F14" i="16"/>
  <c r="F15" i="16"/>
  <c r="E24" i="58"/>
  <c r="G27" i="58"/>
  <c r="F23" i="63"/>
  <c r="G6" i="63"/>
  <c r="G16" i="63"/>
  <c r="G6" i="55"/>
  <c r="B8" i="54"/>
  <c r="D8" i="56"/>
  <c r="B16" i="16"/>
  <c r="B6" i="64"/>
  <c r="D28" i="54"/>
  <c r="E5" i="56"/>
  <c r="G30" i="16"/>
  <c r="F4" i="16"/>
  <c r="C16" i="54"/>
  <c r="C20" i="63"/>
  <c r="B5" i="16"/>
  <c r="E8" i="57"/>
  <c r="C16" i="62"/>
  <c r="G27" i="59"/>
  <c r="C17" i="57"/>
  <c r="G31" i="58"/>
  <c r="D25" i="54"/>
  <c r="B21" i="55"/>
  <c r="C19" i="54"/>
  <c r="D20" i="60"/>
  <c r="F30" i="59"/>
  <c r="F10" i="59"/>
  <c r="G20" i="54"/>
  <c r="B9" i="56"/>
  <c r="F29" i="54"/>
  <c r="G31" i="54"/>
  <c r="D27" i="55"/>
  <c r="E6" i="58"/>
  <c r="F15" i="55"/>
  <c r="B16" i="56"/>
  <c r="G18" i="58"/>
  <c r="B4" i="64"/>
  <c r="F7" i="16"/>
  <c r="D31" i="61"/>
  <c r="E9" i="64"/>
  <c r="F23" i="16"/>
  <c r="D10" i="16"/>
  <c r="D23" i="16"/>
  <c r="D15" i="54"/>
  <c r="D7" i="54"/>
  <c r="G11" i="63"/>
  <c r="D6" i="55"/>
  <c r="F19" i="58"/>
  <c r="E6" i="56"/>
  <c r="G19" i="57"/>
  <c r="E6" i="16"/>
  <c r="C26" i="56"/>
  <c r="E3" i="16"/>
  <c r="C16" i="63"/>
  <c r="C31" i="54"/>
  <c r="C13" i="55"/>
  <c r="E17" i="60"/>
  <c r="E22" i="57"/>
  <c r="C20" i="16"/>
  <c r="F18" i="16"/>
  <c r="F18" i="64"/>
  <c r="E9" i="57"/>
  <c r="E9" i="58"/>
  <c r="G19" i="55"/>
  <c r="G6" i="61"/>
  <c r="F3" i="63"/>
  <c r="D10" i="64"/>
  <c r="E24" i="61"/>
  <c r="C10" i="55"/>
  <c r="B3" i="58"/>
  <c r="D20" i="64"/>
  <c r="E30" i="55"/>
  <c r="F22" i="64"/>
  <c r="B25" i="60"/>
  <c r="E16" i="64"/>
  <c r="D13" i="57"/>
  <c r="G7" i="58"/>
  <c r="E31" i="59"/>
  <c r="G16" i="58"/>
  <c r="E7" i="59"/>
  <c r="C31" i="59"/>
  <c r="G28" i="58"/>
  <c r="C16" i="64"/>
  <c r="D3" i="55"/>
  <c r="E25" i="63"/>
  <c r="B3" i="64"/>
  <c r="B25" i="16"/>
  <c r="F20" i="56"/>
  <c r="B14" i="58"/>
  <c r="D22" i="57"/>
  <c r="E16" i="57"/>
  <c r="E10" i="55"/>
  <c r="E21" i="57"/>
  <c r="C24" i="16"/>
  <c r="G3" i="61"/>
  <c r="G28" i="16"/>
  <c r="G23" i="55"/>
  <c r="G21" i="16"/>
  <c r="B22" i="55"/>
  <c r="G14" i="63"/>
  <c r="G18" i="56"/>
  <c r="G2" i="25"/>
  <c r="C28" i="60"/>
  <c r="E15" i="64"/>
  <c r="G16" i="56"/>
  <c r="B11" i="16"/>
  <c r="C24" i="55"/>
  <c r="C21" i="16"/>
  <c r="E27" i="57"/>
  <c r="E9" i="59"/>
  <c r="E15" i="56"/>
  <c r="G3" i="60"/>
  <c r="F17" i="62"/>
  <c r="D3" i="63"/>
  <c r="B29" i="60"/>
  <c r="B19" i="16"/>
  <c r="B10" i="60"/>
  <c r="B5" i="64"/>
  <c r="F30" i="58"/>
  <c r="C17" i="59"/>
  <c r="E6" i="64"/>
  <c r="B30" i="57"/>
  <c r="D7" i="61"/>
  <c r="G7" i="16"/>
  <c r="E28" i="16"/>
  <c r="E22" i="16"/>
  <c r="B28" i="55"/>
  <c r="C22" i="55"/>
  <c r="F11" i="59"/>
  <c r="F5" i="57"/>
  <c r="E10" i="63"/>
  <c r="F21" i="59"/>
  <c r="G17" i="60"/>
  <c r="G8" i="60"/>
  <c r="D8" i="16"/>
  <c r="F11" i="63"/>
  <c r="D5" i="58"/>
  <c r="C26" i="16"/>
  <c r="C23" i="62"/>
  <c r="E3" i="58"/>
  <c r="C25" i="58"/>
  <c r="C21" i="55"/>
  <c r="G22" i="55"/>
  <c r="C30" i="55"/>
  <c r="D21" i="58"/>
  <c r="B6" i="56"/>
  <c r="B21" i="64"/>
  <c r="B18" i="64"/>
  <c r="C7" i="60"/>
  <c r="B24" i="62"/>
  <c r="B17" i="59"/>
  <c r="E18" i="16"/>
  <c r="G9" i="60"/>
  <c r="C31" i="16"/>
  <c r="G28" i="63"/>
  <c r="E21" i="63"/>
  <c r="F28" i="16"/>
  <c r="F26" i="60"/>
  <c r="D31" i="58"/>
  <c r="C10" i="16"/>
  <c r="F12" i="16"/>
  <c r="E27" i="54"/>
  <c r="B24" i="16"/>
  <c r="D10" i="60"/>
  <c r="G6" i="64"/>
  <c r="B17" i="57"/>
  <c r="G19" i="16"/>
  <c r="G30" i="57"/>
  <c r="B5" i="54"/>
  <c r="C25" i="56"/>
  <c r="D29" i="59"/>
  <c r="C15" i="61"/>
  <c r="D14" i="56"/>
  <c r="D17" i="55"/>
  <c r="F7" i="63"/>
  <c r="C5" i="55"/>
  <c r="F24" i="58"/>
  <c r="G4" i="61"/>
  <c r="F29" i="16"/>
  <c r="D24" i="57"/>
  <c r="B21" i="56"/>
  <c r="B29" i="63"/>
  <c r="G18" i="16"/>
  <c r="B4" i="56"/>
  <c r="D5" i="16"/>
  <c r="D6" i="54"/>
  <c r="D29" i="64"/>
  <c r="B16" i="63"/>
  <c r="B31" i="16"/>
  <c r="C4" i="54"/>
  <c r="C9" i="60"/>
  <c r="B7" i="16"/>
  <c r="E14" i="64"/>
  <c r="D19" i="64"/>
  <c r="B8" i="16"/>
  <c r="C28" i="55"/>
  <c r="C17" i="55"/>
  <c r="B30" i="54"/>
  <c r="D31" i="63"/>
  <c r="G26" i="16"/>
  <c r="G20" i="55"/>
  <c r="G22" i="57"/>
  <c r="G15" i="60"/>
  <c r="B11" i="57"/>
  <c r="F20" i="63"/>
  <c r="D9" i="57"/>
  <c r="G9" i="16"/>
  <c r="C29" i="55"/>
  <c r="F22" i="55"/>
  <c r="B4" i="16"/>
  <c r="F22" i="57"/>
  <c r="C19" i="63"/>
  <c r="G25" i="16"/>
  <c r="F6" i="63"/>
  <c r="E9" i="56"/>
  <c r="F4" i="58"/>
  <c r="G21" i="59"/>
  <c r="G5" i="60"/>
  <c r="C24" i="61"/>
  <c r="D4" i="63"/>
  <c r="D21" i="57"/>
  <c r="E11" i="57"/>
  <c r="B25" i="54"/>
  <c r="D16" i="58"/>
  <c r="D8" i="63"/>
  <c r="E8" i="16"/>
  <c r="B14" i="16"/>
  <c r="G26" i="60"/>
  <c r="G4" i="16"/>
  <c r="F26" i="56"/>
  <c r="F3" i="16"/>
  <c r="G21" i="58"/>
  <c r="B24" i="63"/>
  <c r="C10" i="64"/>
  <c r="E29" i="16"/>
  <c r="F5" i="16"/>
  <c r="G11" i="60"/>
  <c r="C12" i="62"/>
  <c r="D21" i="55"/>
  <c r="D4" i="54"/>
  <c r="F20" i="58"/>
  <c r="B15" i="16"/>
  <c r="C7" i="62"/>
  <c r="G13" i="16"/>
  <c r="D27" i="60"/>
  <c r="D9" i="61"/>
  <c r="G10" i="63"/>
  <c r="C8" i="63"/>
  <c r="E3" i="57"/>
  <c r="D4" i="56"/>
  <c r="F22" i="56"/>
  <c r="G10" i="64"/>
  <c r="G18" i="60"/>
  <c r="G14" i="58"/>
  <c r="C6" i="59"/>
  <c r="G30" i="54"/>
  <c r="D21" i="16"/>
  <c r="C18" i="56"/>
  <c r="F17" i="64"/>
  <c r="E11" i="63"/>
  <c r="E24" i="56"/>
  <c r="C5" i="60"/>
  <c r="F27" i="61"/>
  <c r="G30" i="63"/>
  <c r="F8" i="16"/>
  <c r="F13" i="61"/>
  <c r="F12" i="62"/>
  <c r="G16" i="55"/>
  <c r="E14" i="55"/>
  <c r="C29" i="63"/>
  <c r="F20" i="16"/>
  <c r="E31" i="62"/>
  <c r="G12" i="16"/>
  <c r="F10" i="57"/>
  <c r="B25" i="64"/>
  <c r="E6" i="60"/>
  <c r="B17" i="56"/>
  <c r="D16" i="54"/>
  <c r="B27" i="56"/>
  <c r="G8" i="56"/>
  <c r="G10" i="55"/>
  <c r="F12" i="60"/>
  <c r="G13" i="58"/>
  <c r="B10" i="16"/>
  <c r="B25" i="55"/>
  <c r="G23" i="58"/>
  <c r="E23" i="59"/>
  <c r="G21" i="60"/>
  <c r="E24" i="57"/>
  <c r="F26" i="54"/>
  <c r="G4" i="55"/>
  <c r="C16" i="59"/>
  <c r="G31" i="59"/>
  <c r="C16" i="58"/>
  <c r="B25" i="59"/>
  <c r="C29" i="16"/>
  <c r="E6" i="57"/>
  <c r="C24" i="63"/>
  <c r="F27" i="55"/>
  <c r="F13" i="57"/>
  <c r="B19" i="59"/>
  <c r="D14" i="59"/>
  <c r="B24" i="54"/>
  <c r="F10" i="64"/>
  <c r="D25" i="62"/>
  <c r="G18" i="55"/>
  <c r="G15" i="54"/>
  <c r="F27" i="64"/>
  <c r="E11" i="54"/>
  <c r="F4" i="63"/>
  <c r="C5" i="61"/>
  <c r="C5" i="56"/>
  <c r="B22" i="60"/>
  <c r="F14" i="58"/>
  <c r="E15" i="63"/>
  <c r="F16" i="58"/>
  <c r="E22" i="63"/>
  <c r="C11" i="16"/>
  <c r="B17" i="54"/>
  <c r="E19" i="54"/>
  <c r="F12" i="54"/>
  <c r="B6" i="16"/>
  <c r="D24" i="55"/>
  <c r="D23" i="60"/>
  <c r="C19" i="58"/>
  <c r="B27" i="61"/>
  <c r="B17" i="16"/>
  <c r="D10" i="57"/>
  <c r="B12" i="60"/>
  <c r="G11" i="54"/>
  <c r="F22" i="63"/>
  <c r="D31" i="56"/>
  <c r="D15" i="60"/>
  <c r="B23" i="60"/>
  <c r="F30" i="54"/>
  <c r="F4" i="62"/>
  <c r="B24" i="56"/>
  <c r="G30" i="61"/>
  <c r="G20" i="57"/>
  <c r="G17" i="58"/>
  <c r="D21" i="59"/>
  <c r="E29" i="57"/>
  <c r="D20" i="58"/>
  <c r="E14" i="63"/>
  <c r="E26" i="60"/>
  <c r="E28" i="56"/>
  <c r="C6" i="16"/>
  <c r="E5" i="58"/>
  <c r="G12" i="61"/>
  <c r="B31" i="57"/>
  <c r="G25" i="64"/>
  <c r="D22" i="63"/>
  <c r="G21" i="54"/>
  <c r="G21" i="55"/>
  <c r="G26" i="56"/>
  <c r="G23" i="16"/>
  <c r="C14" i="60"/>
  <c r="F25" i="64"/>
  <c r="C27" i="56"/>
  <c r="F8" i="59"/>
  <c r="E26" i="55"/>
  <c r="B29" i="16"/>
  <c r="F13" i="63"/>
  <c r="F25" i="16"/>
  <c r="D28" i="60"/>
  <c r="D25" i="60"/>
  <c r="E17" i="16"/>
  <c r="F26" i="63"/>
  <c r="E5" i="64"/>
  <c r="B9" i="64"/>
  <c r="E16" i="16"/>
  <c r="D18" i="16"/>
  <c r="B22" i="16"/>
  <c r="D7" i="16"/>
  <c r="C8" i="64"/>
  <c r="F19" i="59"/>
  <c r="B21" i="16"/>
  <c r="C27" i="16"/>
  <c r="C19" i="62"/>
  <c r="B5" i="57"/>
  <c r="G24" i="58"/>
  <c r="C31" i="55"/>
  <c r="E15" i="54"/>
  <c r="F3" i="57"/>
  <c r="B4" i="54"/>
  <c r="G7" i="64"/>
  <c r="C27" i="59"/>
  <c r="D5" i="55"/>
  <c r="C22" i="16"/>
  <c r="B3" i="16"/>
  <c r="F9" i="58"/>
  <c r="G12" i="64"/>
  <c r="G15" i="16"/>
  <c r="B28" i="62"/>
  <c r="D24" i="64"/>
  <c r="C15" i="59"/>
  <c r="D12" i="63"/>
  <c r="C23" i="63"/>
  <c r="E31" i="16"/>
  <c r="B12" i="64"/>
  <c r="E23" i="58"/>
  <c r="B29" i="56"/>
  <c r="D27" i="57"/>
  <c r="E26" i="16"/>
  <c r="D16" i="61"/>
  <c r="F9" i="60"/>
  <c r="D20" i="54"/>
  <c r="B10" i="64"/>
  <c r="G19" i="61"/>
  <c r="E13" i="61"/>
  <c r="C11" i="54"/>
  <c r="G29" i="63"/>
  <c r="E27" i="56"/>
  <c r="F14" i="57"/>
  <c r="G14" i="61"/>
  <c r="F26" i="16"/>
  <c r="D11" i="63"/>
  <c r="D26" i="62"/>
  <c r="D26" i="59"/>
  <c r="F27" i="57"/>
  <c r="F21" i="16"/>
  <c r="B14" i="56"/>
  <c r="F20" i="61"/>
  <c r="G29" i="59"/>
  <c r="B15" i="54"/>
  <c r="D19" i="56"/>
  <c r="E12" i="16"/>
  <c r="D19" i="63"/>
  <c r="G6" i="56"/>
  <c r="C14" i="61"/>
  <c r="F15" i="61"/>
  <c r="F29" i="55"/>
  <c r="B14" i="59"/>
  <c r="C16" i="55"/>
  <c r="E6" i="62"/>
  <c r="G30" i="64"/>
  <c r="E6" i="59"/>
  <c r="E25" i="16"/>
  <c r="F20" i="57"/>
  <c r="E12" i="54"/>
  <c r="B30" i="16"/>
  <c r="F28" i="56"/>
  <c r="D6" i="16"/>
  <c r="F5" i="55"/>
  <c r="C18" i="16"/>
  <c r="F11" i="56"/>
  <c r="C17" i="16"/>
  <c r="D24" i="56"/>
  <c r="E24" i="54"/>
  <c r="C6" i="57"/>
  <c r="D29" i="56"/>
  <c r="E8" i="55"/>
  <c r="C24" i="64"/>
  <c r="D26" i="58"/>
  <c r="G24" i="59"/>
  <c r="G31" i="64"/>
  <c r="G26" i="57"/>
  <c r="G10" i="57"/>
  <c r="E3" i="56"/>
  <c r="F15" i="57"/>
  <c r="B30" i="60"/>
  <c r="E13" i="64"/>
  <c r="C30" i="64"/>
  <c r="B20" i="64"/>
  <c r="F24" i="62"/>
  <c r="D3" i="64"/>
  <c r="D4" i="64"/>
  <c r="F12" i="55"/>
  <c r="B10" i="59"/>
  <c r="B17" i="60"/>
  <c r="D6" i="57"/>
  <c r="D6" i="61"/>
  <c r="B18" i="56"/>
  <c r="C3" i="59"/>
  <c r="E13" i="62"/>
  <c r="G12" i="59"/>
  <c r="F25" i="60"/>
  <c r="C11" i="55"/>
  <c r="C3" i="60"/>
  <c r="B18" i="58"/>
  <c r="E15" i="16"/>
  <c r="E31" i="58"/>
  <c r="G31" i="62"/>
  <c r="C30" i="58"/>
  <c r="F13" i="60"/>
  <c r="F15" i="56"/>
  <c r="G4" i="60"/>
  <c r="E21" i="54"/>
  <c r="C17" i="60"/>
  <c r="D16" i="64"/>
  <c r="F5" i="61"/>
  <c r="F27" i="59"/>
  <c r="E21" i="58"/>
  <c r="F31" i="57"/>
  <c r="D7" i="60"/>
  <c r="F5" i="63"/>
  <c r="F7" i="64"/>
  <c r="C18" i="60"/>
  <c r="G9" i="64"/>
  <c r="F16" i="55"/>
  <c r="F18" i="59"/>
  <c r="B13" i="16"/>
  <c r="C10" i="57"/>
  <c r="B3" i="54"/>
  <c r="G22" i="62"/>
  <c r="E18" i="55"/>
  <c r="D23" i="59"/>
  <c r="E6" i="55"/>
  <c r="F13" i="64"/>
  <c r="E25" i="55"/>
  <c r="F29" i="63"/>
  <c r="B12" i="54"/>
  <c r="G31" i="55"/>
  <c r="C26" i="61"/>
  <c r="D14" i="16"/>
  <c r="B20" i="57"/>
  <c r="C19" i="16"/>
  <c r="F31" i="61"/>
  <c r="B29" i="57"/>
  <c r="G27" i="54"/>
  <c r="D12" i="16"/>
  <c r="F21" i="55"/>
  <c r="B8" i="58"/>
  <c r="B30" i="63"/>
  <c r="B7" i="55"/>
  <c r="F20" i="60"/>
  <c r="B20" i="61"/>
  <c r="G11" i="56"/>
  <c r="C17" i="63"/>
  <c r="F6" i="16"/>
  <c r="C15" i="58"/>
  <c r="C13" i="56"/>
  <c r="C15" i="64"/>
  <c r="C3" i="62"/>
  <c r="F19" i="16"/>
  <c r="F16" i="57"/>
  <c r="F27" i="16"/>
  <c r="E28" i="63"/>
  <c r="B27" i="54"/>
  <c r="F21" i="60"/>
  <c r="D11" i="59"/>
  <c r="D6" i="64"/>
  <c r="H27" i="54" l="1"/>
  <c r="I27" i="54" s="1"/>
  <c r="H3" i="62"/>
  <c r="I3" i="62" s="1"/>
  <c r="H20" i="61"/>
  <c r="I20" i="61" s="1"/>
  <c r="H7" i="55"/>
  <c r="I7" i="55" s="1"/>
  <c r="H30" i="63"/>
  <c r="I30" i="63" s="1"/>
  <c r="H8" i="58"/>
  <c r="I8" i="58" s="1"/>
  <c r="H29" i="57"/>
  <c r="I29" i="57" s="1"/>
  <c r="H20" i="57"/>
  <c r="I20" i="57" s="1"/>
  <c r="H26" i="61"/>
  <c r="I26" i="61" s="1"/>
  <c r="H12" i="54"/>
  <c r="I12" i="54" s="1"/>
  <c r="H3" i="54"/>
  <c r="I3" i="54" s="1"/>
  <c r="H13" i="16"/>
  <c r="I13" i="16" s="1"/>
  <c r="H18" i="58"/>
  <c r="I18" i="58" s="1"/>
  <c r="H18" i="56"/>
  <c r="I18" i="56" s="1"/>
  <c r="H6" i="61"/>
  <c r="I6" i="61" s="1"/>
  <c r="H17" i="60"/>
  <c r="I17" i="60" s="1"/>
  <c r="H10" i="59"/>
  <c r="I10" i="59" s="1"/>
  <c r="H20" i="64"/>
  <c r="I20" i="64" s="1"/>
  <c r="H30" i="60"/>
  <c r="I30" i="60" s="1"/>
  <c r="H30" i="16"/>
  <c r="I30" i="16" s="1"/>
  <c r="H14" i="59"/>
  <c r="I14" i="59" s="1"/>
  <c r="H14" i="61"/>
  <c r="I14" i="61" s="1"/>
  <c r="H15" i="54"/>
  <c r="I15" i="54" s="1"/>
  <c r="H14" i="56"/>
  <c r="I14" i="56" s="1"/>
  <c r="H10" i="64"/>
  <c r="I10" i="64" s="1"/>
  <c r="H29" i="56"/>
  <c r="I29" i="56" s="1"/>
  <c r="H12" i="64"/>
  <c r="I12" i="64" s="1"/>
  <c r="H28" i="62"/>
  <c r="I28" i="62" s="1"/>
  <c r="H3" i="16"/>
  <c r="I3" i="16" s="1"/>
  <c r="H27" i="59"/>
  <c r="I27" i="59" s="1"/>
  <c r="H4" i="54"/>
  <c r="I4" i="54" s="1"/>
  <c r="H5" i="57"/>
  <c r="I5" i="57" s="1"/>
  <c r="H21" i="16"/>
  <c r="I21" i="16" s="1"/>
  <c r="H22" i="16"/>
  <c r="I22" i="16" s="1"/>
  <c r="H9" i="64"/>
  <c r="I9" i="64" s="1"/>
  <c r="H29" i="16"/>
  <c r="I29" i="16" s="1"/>
  <c r="H31" i="57"/>
  <c r="I31" i="57" s="1"/>
  <c r="H24" i="56"/>
  <c r="I24" i="56" s="1"/>
  <c r="H23" i="60"/>
  <c r="I23" i="60" s="1"/>
  <c r="H12" i="60"/>
  <c r="I12" i="60" s="1"/>
  <c r="H17" i="16"/>
  <c r="I17" i="16" s="1"/>
  <c r="H27" i="61"/>
  <c r="I27" i="61" s="1"/>
  <c r="H6" i="16"/>
  <c r="I6" i="16" s="1"/>
  <c r="H17" i="54"/>
  <c r="I17" i="54" s="1"/>
  <c r="H22" i="60"/>
  <c r="I22" i="60" s="1"/>
  <c r="H5" i="61"/>
  <c r="I5" i="61" s="1"/>
  <c r="H25" i="62"/>
  <c r="I25" i="62" s="1"/>
  <c r="H24" i="54"/>
  <c r="I24" i="54" s="1"/>
  <c r="H19" i="59"/>
  <c r="I19" i="59" s="1"/>
  <c r="H25" i="59"/>
  <c r="I25" i="59" s="1"/>
  <c r="H25" i="55"/>
  <c r="I25" i="55" s="1"/>
  <c r="H10" i="16"/>
  <c r="I10" i="16" s="1"/>
  <c r="H27" i="56"/>
  <c r="I27" i="56" s="1"/>
  <c r="H17" i="56"/>
  <c r="I17" i="56" s="1"/>
  <c r="H25" i="64"/>
  <c r="I25" i="64" s="1"/>
  <c r="H7" i="62"/>
  <c r="I7" i="62" s="1"/>
  <c r="H15" i="16"/>
  <c r="I15" i="16" s="1"/>
  <c r="H24" i="63"/>
  <c r="I24" i="63" s="1"/>
  <c r="H14" i="16"/>
  <c r="I14" i="16" s="1"/>
  <c r="H25" i="54"/>
  <c r="I25" i="54" s="1"/>
  <c r="H4" i="16"/>
  <c r="I4" i="16" s="1"/>
  <c r="H11" i="57"/>
  <c r="I11" i="57" s="1"/>
  <c r="H30" i="54"/>
  <c r="I30" i="54" s="1"/>
  <c r="H8" i="16"/>
  <c r="I8" i="16" s="1"/>
  <c r="H7" i="16"/>
  <c r="I7" i="16" s="1"/>
  <c r="H31" i="16"/>
  <c r="I31" i="16" s="1"/>
  <c r="H16" i="63"/>
  <c r="I16" i="63" s="1"/>
  <c r="H4" i="56"/>
  <c r="I4" i="56" s="1"/>
  <c r="H29" i="63"/>
  <c r="I29" i="63" s="1"/>
  <c r="H21" i="56"/>
  <c r="I21" i="56" s="1"/>
  <c r="H5" i="54"/>
  <c r="I5" i="54" s="1"/>
  <c r="H17" i="57"/>
  <c r="I17" i="57" s="1"/>
  <c r="H24" i="16"/>
  <c r="I24" i="16" s="1"/>
  <c r="H17" i="59"/>
  <c r="I17" i="59" s="1"/>
  <c r="H24" i="62"/>
  <c r="I24" i="62" s="1"/>
  <c r="H18" i="64"/>
  <c r="I18" i="64" s="1"/>
  <c r="H21" i="64"/>
  <c r="I21" i="64" s="1"/>
  <c r="H6" i="56"/>
  <c r="I6" i="56" s="1"/>
  <c r="H23" i="62"/>
  <c r="I23" i="62" s="1"/>
  <c r="H28" i="55"/>
  <c r="I28" i="55" s="1"/>
  <c r="H30" i="57"/>
  <c r="I30" i="57" s="1"/>
  <c r="H5" i="64"/>
  <c r="I5" i="64" s="1"/>
  <c r="H10" i="60"/>
  <c r="I10" i="60" s="1"/>
  <c r="H19" i="16"/>
  <c r="I19" i="16" s="1"/>
  <c r="H29" i="60"/>
  <c r="I29" i="60" s="1"/>
  <c r="H11" i="16"/>
  <c r="I11" i="16" s="1"/>
  <c r="H22" i="55"/>
  <c r="I22" i="55" s="1"/>
  <c r="H14" i="58"/>
  <c r="I14" i="58" s="1"/>
  <c r="H25" i="16"/>
  <c r="I25" i="16" s="1"/>
  <c r="H3" i="64"/>
  <c r="I3" i="64" s="1"/>
  <c r="H25" i="60"/>
  <c r="I25" i="60" s="1"/>
  <c r="H3" i="58"/>
  <c r="I3" i="58" s="1"/>
  <c r="H4" i="64"/>
  <c r="I4" i="64" s="1"/>
  <c r="H16" i="56"/>
  <c r="I16" i="56" s="1"/>
  <c r="H9" i="56"/>
  <c r="I9" i="56" s="1"/>
  <c r="H21" i="55"/>
  <c r="I21" i="55" s="1"/>
  <c r="H5" i="16"/>
  <c r="I5" i="16" s="1"/>
  <c r="H6" i="64"/>
  <c r="I6" i="64" s="1"/>
  <c r="H16" i="16"/>
  <c r="I16" i="16" s="1"/>
  <c r="H8" i="54"/>
  <c r="I8" i="54" s="1"/>
  <c r="H20" i="16"/>
  <c r="I20" i="16" s="1"/>
  <c r="H14" i="57"/>
  <c r="I14" i="57" s="1"/>
  <c r="H18" i="16"/>
  <c r="I18" i="16" s="1"/>
  <c r="H31" i="63"/>
  <c r="I31" i="63" s="1"/>
  <c r="H30" i="59"/>
  <c r="I30" i="59" s="1"/>
  <c r="H5" i="62"/>
  <c r="I5" i="62" s="1"/>
  <c r="H24" i="57"/>
  <c r="I24" i="57" s="1"/>
  <c r="H21" i="60"/>
  <c r="I21" i="60" s="1"/>
  <c r="H9" i="55"/>
  <c r="I9" i="55" s="1"/>
  <c r="H11" i="58"/>
  <c r="I11" i="58" s="1"/>
  <c r="H21" i="63"/>
  <c r="I21" i="63" s="1"/>
  <c r="H8" i="57"/>
  <c r="I8" i="57" s="1"/>
  <c r="H18" i="54"/>
  <c r="I18" i="54" s="1"/>
  <c r="H5" i="59"/>
  <c r="I5" i="59" s="1"/>
  <c r="H25" i="58"/>
  <c r="I25" i="58" s="1"/>
  <c r="H23" i="64"/>
  <c r="I23" i="64" s="1"/>
  <c r="H6" i="63"/>
  <c r="I6" i="63" s="1"/>
  <c r="H13" i="59"/>
  <c r="I13" i="59" s="1"/>
  <c r="H6" i="60"/>
  <c r="I6" i="60" s="1"/>
  <c r="H14" i="55"/>
  <c r="I14" i="55" s="1"/>
  <c r="H22" i="62"/>
  <c r="I22" i="62" s="1"/>
  <c r="H13" i="61"/>
  <c r="I13" i="61" s="1"/>
  <c r="H26" i="55"/>
  <c r="I26" i="55" s="1"/>
  <c r="H29" i="62"/>
  <c r="I29" i="62" s="1"/>
  <c r="H29" i="61"/>
  <c r="I29" i="61" s="1"/>
  <c r="H3" i="60"/>
  <c r="I3" i="60" s="1"/>
  <c r="H20" i="56"/>
  <c r="I20" i="56" s="1"/>
  <c r="H22" i="64"/>
  <c r="I22" i="64" s="1"/>
  <c r="H29" i="55"/>
  <c r="I29" i="55" s="1"/>
  <c r="H5" i="58"/>
  <c r="I5" i="58" s="1"/>
  <c r="H29" i="54"/>
  <c r="I29" i="54" s="1"/>
  <c r="H9" i="63"/>
  <c r="I9" i="63" s="1"/>
  <c r="H8" i="61"/>
  <c r="I8" i="61" s="1"/>
  <c r="H10" i="56"/>
  <c r="I10" i="56" s="1"/>
  <c r="H24" i="60"/>
  <c r="I24" i="60" s="1"/>
  <c r="H19" i="54"/>
  <c r="I19" i="54" s="1"/>
  <c r="H26" i="54"/>
  <c r="I26" i="54" s="1"/>
  <c r="H21" i="59"/>
  <c r="I21" i="59" s="1"/>
  <c r="H24" i="55"/>
  <c r="I24" i="55" s="1"/>
  <c r="H27" i="16"/>
  <c r="I27" i="16" s="1"/>
  <c r="H28" i="54"/>
  <c r="I28" i="54" s="1"/>
  <c r="H9" i="16"/>
  <c r="I9" i="16" s="1"/>
  <c r="H25" i="61"/>
  <c r="I25" i="61" s="1"/>
  <c r="H9" i="54"/>
  <c r="I9" i="54" s="1"/>
  <c r="H12" i="16"/>
  <c r="I12" i="16" s="1"/>
  <c r="H16" i="61"/>
  <c r="I16" i="61" s="1"/>
  <c r="H31" i="54"/>
  <c r="I31" i="54" s="1"/>
  <c r="H18" i="61"/>
  <c r="I18" i="61" s="1"/>
  <c r="H15" i="60"/>
  <c r="I15" i="60" s="1"/>
  <c r="H23" i="16"/>
  <c r="I23" i="16" s="1"/>
  <c r="H8" i="56"/>
  <c r="I8" i="56" s="1"/>
  <c r="H10" i="55"/>
  <c r="I10" i="55" s="1"/>
  <c r="H17" i="58"/>
  <c r="I17" i="58" s="1"/>
  <c r="H7" i="59"/>
  <c r="I7" i="59" s="1"/>
  <c r="H3" i="56"/>
  <c r="I3" i="56" s="1"/>
  <c r="H22" i="59"/>
  <c r="I22" i="59" s="1"/>
  <c r="H13" i="57"/>
  <c r="I13" i="57" s="1"/>
  <c r="H15" i="59"/>
  <c r="I15" i="59" s="1"/>
  <c r="H18" i="55"/>
  <c r="I18" i="55" s="1"/>
  <c r="H24" i="64"/>
  <c r="I24" i="64" s="1"/>
  <c r="H8" i="64"/>
  <c r="I8" i="64" s="1"/>
  <c r="H13" i="56"/>
  <c r="I13" i="56" s="1"/>
  <c r="H12" i="63"/>
  <c r="I12" i="63" s="1"/>
  <c r="H10" i="62"/>
  <c r="I10" i="62" s="1"/>
  <c r="H5" i="56"/>
  <c r="I5" i="56" s="1"/>
  <c r="H4" i="57"/>
  <c r="I4" i="57" s="1"/>
  <c r="H24" i="61"/>
  <c r="I24" i="61" s="1"/>
  <c r="H12" i="56"/>
  <c r="I12" i="56" s="1"/>
  <c r="H17" i="55"/>
  <c r="I17" i="55" s="1"/>
  <c r="H3" i="63"/>
  <c r="I3" i="63" s="1"/>
  <c r="H16" i="60"/>
  <c r="I16" i="60" s="1"/>
  <c r="H10" i="57"/>
  <c r="I10" i="57" s="1"/>
  <c r="H16" i="64"/>
  <c r="I16" i="64" s="1"/>
  <c r="H28" i="59"/>
  <c r="I28" i="59" s="1"/>
  <c r="H22" i="54"/>
  <c r="I22" i="54" s="1"/>
  <c r="H12" i="57"/>
  <c r="I12" i="57" s="1"/>
  <c r="H16" i="54"/>
  <c r="I16" i="54" s="1"/>
  <c r="H26" i="59"/>
  <c r="I26" i="59" s="1"/>
  <c r="H23" i="63"/>
  <c r="I23" i="63" s="1"/>
  <c r="H20" i="59"/>
  <c r="I20" i="59" s="1"/>
  <c r="H17" i="64"/>
  <c r="I17" i="64" s="1"/>
  <c r="H15" i="56"/>
  <c r="I15" i="56" s="1"/>
  <c r="H17" i="62"/>
  <c r="I17" i="62" s="1"/>
  <c r="H13" i="54"/>
  <c r="I13" i="54" s="1"/>
  <c r="H17" i="63"/>
  <c r="I17" i="63" s="1"/>
  <c r="H3" i="57"/>
  <c r="I3" i="57" s="1"/>
  <c r="H15" i="55"/>
  <c r="I15" i="55" s="1"/>
  <c r="H26" i="60"/>
  <c r="I26" i="60" s="1"/>
  <c r="H13" i="62"/>
  <c r="I13" i="62" s="1"/>
  <c r="H8" i="59"/>
  <c r="I8" i="59" s="1"/>
  <c r="H26" i="16"/>
  <c r="I26" i="16" s="1"/>
  <c r="H5" i="63"/>
  <c r="I5" i="63" s="1"/>
  <c r="H26" i="62"/>
  <c r="I26" i="62" s="1"/>
  <c r="H30" i="61"/>
  <c r="I30" i="61" s="1"/>
  <c r="H28" i="64"/>
  <c r="I28" i="64" s="1"/>
  <c r="H29" i="58"/>
  <c r="I29" i="58" s="1"/>
  <c r="H12" i="61"/>
  <c r="I12" i="61" s="1"/>
  <c r="H24" i="58"/>
  <c r="I24" i="58" s="1"/>
  <c r="H11" i="56"/>
  <c r="I11" i="56" s="1"/>
  <c r="H3" i="61"/>
  <c r="I3" i="61" s="1"/>
  <c r="H8" i="62"/>
  <c r="I8" i="62" s="1"/>
  <c r="H31" i="58"/>
  <c r="I31" i="58" s="1"/>
  <c r="H11" i="62"/>
  <c r="I11" i="62" s="1"/>
  <c r="H16" i="58"/>
  <c r="I16" i="58" s="1"/>
  <c r="H26" i="64"/>
  <c r="I26" i="64" s="1"/>
  <c r="H23" i="56"/>
  <c r="I23" i="56" s="1"/>
  <c r="H11" i="60"/>
  <c r="I11" i="60" s="1"/>
  <c r="H31" i="56"/>
  <c r="I31" i="56" s="1"/>
  <c r="H10" i="54"/>
  <c r="I10" i="54" s="1"/>
  <c r="H20" i="58"/>
  <c r="I20" i="58" s="1"/>
  <c r="H16" i="57"/>
  <c r="I16" i="57" s="1"/>
  <c r="H14" i="63"/>
  <c r="I14" i="63" s="1"/>
  <c r="H28" i="63"/>
  <c r="I28" i="63" s="1"/>
  <c r="H19" i="64"/>
  <c r="I19" i="64" s="1"/>
  <c r="H23" i="59"/>
  <c r="I23" i="59" s="1"/>
  <c r="H27" i="62"/>
  <c r="I27" i="62" s="1"/>
  <c r="H21" i="54"/>
  <c r="I21" i="54" s="1"/>
  <c r="H10" i="58"/>
  <c r="I10" i="58" s="1"/>
  <c r="H27" i="57"/>
  <c r="I27" i="57" s="1"/>
  <c r="H6" i="62"/>
  <c r="I6" i="62" s="1"/>
  <c r="H31" i="60"/>
  <c r="I31" i="60" s="1"/>
  <c r="H12" i="58"/>
  <c r="I12" i="58" s="1"/>
  <c r="H21" i="62"/>
  <c r="I21" i="62" s="1"/>
  <c r="H27" i="60"/>
  <c r="I27" i="60" s="1"/>
  <c r="H19" i="58"/>
  <c r="I19" i="58" s="1"/>
  <c r="H4" i="58"/>
  <c r="I4" i="58" s="1"/>
  <c r="H18" i="59"/>
  <c r="I18" i="59" s="1"/>
  <c r="H3" i="55"/>
  <c r="I3" i="55" s="1"/>
  <c r="H22" i="63"/>
  <c r="I22" i="63" s="1"/>
  <c r="H31" i="61"/>
  <c r="I31" i="61" s="1"/>
  <c r="H28" i="56"/>
  <c r="I28" i="56" s="1"/>
  <c r="H25" i="63"/>
  <c r="I25" i="63" s="1"/>
  <c r="H26" i="56"/>
  <c r="I26" i="56" s="1"/>
  <c r="H7" i="54"/>
  <c r="I7" i="54" s="1"/>
  <c r="H4" i="59"/>
  <c r="I4" i="59" s="1"/>
  <c r="H17" i="61"/>
  <c r="I17" i="61" s="1"/>
  <c r="H16" i="62"/>
  <c r="I16" i="62" s="1"/>
  <c r="H15" i="61"/>
  <c r="I15" i="61" s="1"/>
  <c r="H7" i="56"/>
  <c r="I7" i="56" s="1"/>
  <c r="H4" i="60"/>
  <c r="I4" i="60" s="1"/>
  <c r="H26" i="57"/>
  <c r="I26" i="57" s="1"/>
  <c r="H12" i="62"/>
  <c r="I12" i="62" s="1"/>
  <c r="H28" i="60"/>
  <c r="I28" i="60" s="1"/>
  <c r="H15" i="58"/>
  <c r="I15" i="58" s="1"/>
  <c r="H5" i="55"/>
  <c r="I5" i="55" s="1"/>
  <c r="H26" i="58"/>
  <c r="I26" i="58" s="1"/>
  <c r="H21" i="57"/>
  <c r="I21" i="57" s="1"/>
  <c r="H22" i="57"/>
  <c r="I22" i="57" s="1"/>
  <c r="H4" i="63"/>
  <c r="I4" i="63" s="1"/>
  <c r="H13" i="64"/>
  <c r="I13" i="64" s="1"/>
  <c r="H30" i="64"/>
  <c r="I30" i="64" s="1"/>
  <c r="H18" i="60"/>
  <c r="I18" i="60" s="1"/>
  <c r="H28" i="57"/>
  <c r="I28" i="57" s="1"/>
  <c r="H4" i="61"/>
  <c r="I4" i="61" s="1"/>
  <c r="H3" i="59"/>
  <c r="I3" i="59" s="1"/>
  <c r="H9" i="61"/>
  <c r="I9" i="61" s="1"/>
  <c r="H31" i="64"/>
  <c r="I31" i="64" s="1"/>
  <c r="H19" i="61"/>
  <c r="I19" i="61" s="1"/>
  <c r="H19" i="55"/>
  <c r="I19" i="55" s="1"/>
  <c r="H26" i="63"/>
  <c r="I26" i="63" s="1"/>
  <c r="H7" i="63"/>
  <c r="I7" i="63" s="1"/>
  <c r="H19" i="60"/>
  <c r="I19" i="60" s="1"/>
  <c r="H11" i="63"/>
  <c r="I11" i="63" s="1"/>
  <c r="H15" i="63"/>
  <c r="I15" i="63" s="1"/>
  <c r="H6" i="57"/>
  <c r="I6" i="57" s="1"/>
  <c r="H18" i="57"/>
  <c r="I18" i="57" s="1"/>
  <c r="H23" i="58"/>
  <c r="I23" i="58" s="1"/>
  <c r="H15" i="62"/>
  <c r="I15" i="62" s="1"/>
  <c r="H11" i="64"/>
  <c r="I11" i="64" s="1"/>
  <c r="H30" i="55"/>
  <c r="I30" i="55" s="1"/>
  <c r="H31" i="59"/>
  <c r="I31" i="59" s="1"/>
  <c r="H6" i="58"/>
  <c r="I6" i="58" s="1"/>
  <c r="H6" i="59"/>
  <c r="I6" i="59" s="1"/>
  <c r="H19" i="63"/>
  <c r="I19" i="63" s="1"/>
  <c r="H20" i="62"/>
  <c r="I20" i="62" s="1"/>
  <c r="H7" i="60"/>
  <c r="I7" i="60" s="1"/>
  <c r="H25" i="57"/>
  <c r="I25" i="57" s="1"/>
  <c r="H27" i="63"/>
  <c r="I27" i="63" s="1"/>
  <c r="H9" i="57"/>
  <c r="I9" i="57" s="1"/>
  <c r="H19" i="62"/>
  <c r="I19" i="62" s="1"/>
  <c r="H22" i="56"/>
  <c r="I22" i="56" s="1"/>
  <c r="H19" i="56"/>
  <c r="I19" i="56" s="1"/>
  <c r="H6" i="54"/>
  <c r="I6" i="54" s="1"/>
  <c r="H24" i="59"/>
  <c r="I24" i="59" s="1"/>
  <c r="H13" i="58"/>
  <c r="I13" i="58" s="1"/>
  <c r="H29" i="59"/>
  <c r="I29" i="59" s="1"/>
  <c r="H9" i="59"/>
  <c r="I9" i="59" s="1"/>
  <c r="H21" i="61"/>
  <c r="I21" i="61" s="1"/>
  <c r="H7" i="57"/>
  <c r="I7" i="57" s="1"/>
  <c r="H10" i="61"/>
  <c r="I10" i="61" s="1"/>
  <c r="H15" i="57"/>
  <c r="I15" i="57" s="1"/>
  <c r="H23" i="55"/>
  <c r="I23" i="55" s="1"/>
  <c r="H27" i="64"/>
  <c r="I27" i="64" s="1"/>
  <c r="H11" i="61"/>
  <c r="I11" i="61" s="1"/>
  <c r="H25" i="56"/>
  <c r="I25" i="56" s="1"/>
  <c r="H8" i="63"/>
  <c r="I8" i="63" s="1"/>
  <c r="H23" i="57"/>
  <c r="I23" i="57" s="1"/>
  <c r="H23" i="61"/>
  <c r="I23" i="61" s="1"/>
  <c r="H20" i="63"/>
  <c r="I20" i="63" s="1"/>
  <c r="H7" i="64"/>
  <c r="I7" i="64" s="1"/>
  <c r="H15" i="64"/>
  <c r="I15" i="64" s="1"/>
  <c r="H28" i="16"/>
  <c r="I28" i="16" s="1"/>
  <c r="H29" i="64"/>
  <c r="I29" i="64" s="1"/>
  <c r="H28" i="58"/>
  <c r="I28" i="58" s="1"/>
  <c r="H9" i="58"/>
  <c r="I9" i="58" s="1"/>
  <c r="H9" i="60"/>
  <c r="I9" i="60" s="1"/>
  <c r="H20" i="55"/>
  <c r="I20" i="55" s="1"/>
  <c r="H18" i="63"/>
  <c r="I18" i="63" s="1"/>
  <c r="H7" i="61"/>
  <c r="I7" i="61" s="1"/>
  <c r="H13" i="55"/>
  <c r="I13" i="55" s="1"/>
  <c r="H12" i="59"/>
  <c r="I12" i="59" s="1"/>
  <c r="H18" i="62"/>
  <c r="I18" i="62" s="1"/>
  <c r="H16" i="55"/>
  <c r="I16" i="55" s="1"/>
  <c r="H14" i="60"/>
  <c r="I14" i="60" s="1"/>
  <c r="H23" i="54"/>
  <c r="I23" i="54" s="1"/>
  <c r="H6" i="55"/>
  <c r="I6" i="55" s="1"/>
  <c r="H30" i="62"/>
  <c r="I30" i="62" s="1"/>
  <c r="H30" i="58"/>
  <c r="I30" i="58" s="1"/>
  <c r="H16" i="59"/>
  <c r="I16" i="59" s="1"/>
  <c r="H14" i="64"/>
  <c r="I14" i="64" s="1"/>
  <c r="H27" i="55"/>
  <c r="I27" i="55" s="1"/>
  <c r="H11" i="59"/>
  <c r="I11" i="59" s="1"/>
  <c r="H13" i="63"/>
  <c r="I13" i="63" s="1"/>
  <c r="H10" i="63"/>
  <c r="I10" i="63" s="1"/>
  <c r="H13" i="60"/>
  <c r="I13" i="60" s="1"/>
  <c r="H20" i="54"/>
  <c r="I20" i="54" s="1"/>
  <c r="H19" i="57"/>
  <c r="I19" i="57" s="1"/>
  <c r="H4" i="55"/>
  <c r="I4" i="55" s="1"/>
  <c r="H8" i="60"/>
  <c r="I8" i="60" s="1"/>
  <c r="H5" i="60"/>
  <c r="I5" i="60" s="1"/>
  <c r="H22" i="58"/>
  <c r="I22" i="58" s="1"/>
  <c r="H8" i="55"/>
  <c r="I8" i="55" s="1"/>
  <c r="H31" i="55"/>
  <c r="I31" i="55" s="1"/>
  <c r="H12" i="55"/>
  <c r="I12" i="55" s="1"/>
  <c r="H20" i="60"/>
  <c r="I20" i="60" s="1"/>
  <c r="H31" i="62"/>
  <c r="I31" i="62" s="1"/>
  <c r="H4" i="62"/>
  <c r="I4" i="62" s="1"/>
  <c r="H22" i="61"/>
  <c r="I22" i="61" s="1"/>
  <c r="H27" i="58"/>
  <c r="I27" i="58" s="1"/>
  <c r="H7" i="58"/>
  <c r="I7" i="58" s="1"/>
  <c r="H11" i="55"/>
  <c r="I11" i="55" s="1"/>
  <c r="H28" i="61"/>
  <c r="I28" i="61" s="1"/>
  <c r="H11" i="54"/>
  <c r="I11" i="54" s="1"/>
  <c r="H9" i="62"/>
  <c r="I9" i="62" s="1"/>
  <c r="H30" i="56"/>
  <c r="I30" i="56" s="1"/>
  <c r="H14" i="54"/>
  <c r="I14" i="54" s="1"/>
  <c r="H14" i="62"/>
  <c r="I14" i="62" s="1"/>
  <c r="H21" i="58"/>
  <c r="I21" i="58" s="1"/>
  <c r="C26" i="37"/>
  <c r="L25" i="37"/>
  <c r="J9" i="37"/>
  <c r="O9" i="37"/>
  <c r="B20" i="37"/>
  <c r="B16" i="37"/>
  <c r="J18" i="37"/>
  <c r="B14" i="37"/>
  <c r="B6" i="37"/>
  <c r="B23" i="37"/>
  <c r="F29" i="37"/>
  <c r="B24" i="37"/>
  <c r="B4" i="37"/>
  <c r="J29" i="37"/>
  <c r="C17" i="37"/>
  <c r="M21" i="37"/>
  <c r="D28" i="37"/>
  <c r="C25" i="37"/>
  <c r="B11" i="37"/>
  <c r="G16" i="37"/>
  <c r="O7" i="37"/>
  <c r="D16" i="37"/>
  <c r="C15" i="37"/>
  <c r="N16" i="37"/>
  <c r="M25" i="37"/>
  <c r="M7" i="37"/>
  <c r="C9" i="37"/>
  <c r="C20" i="37"/>
  <c r="G18" i="37"/>
  <c r="E25" i="37"/>
  <c r="F25" i="37"/>
  <c r="N3" i="37"/>
  <c r="O30" i="37"/>
  <c r="F5" i="37"/>
  <c r="J5" i="37"/>
  <c r="E21" i="37"/>
  <c r="F6" i="37"/>
  <c r="F22" i="37"/>
  <c r="G8" i="37"/>
  <c r="D15" i="37"/>
  <c r="D26" i="37"/>
  <c r="K7" i="37"/>
  <c r="M3" i="37"/>
  <c r="E29" i="37"/>
  <c r="D18" i="37"/>
  <c r="C5" i="37"/>
  <c r="D19" i="37"/>
  <c r="G26" i="37"/>
  <c r="K12" i="37"/>
  <c r="G11" i="37"/>
  <c r="K18" i="37"/>
  <c r="G29" i="37"/>
  <c r="F28" i="37"/>
  <c r="O24" i="37"/>
  <c r="E8" i="37"/>
  <c r="E19" i="37"/>
  <c r="L23" i="37"/>
  <c r="J22" i="37"/>
  <c r="F20" i="37"/>
  <c r="M2" i="37"/>
  <c r="C11" i="37"/>
  <c r="O19" i="37"/>
  <c r="E28" i="37"/>
  <c r="B21" i="37"/>
  <c r="L26" i="37"/>
  <c r="J24" i="37"/>
  <c r="N23" i="37"/>
  <c r="B30" i="37"/>
  <c r="J16" i="37"/>
  <c r="O4" i="37"/>
  <c r="O2" i="37"/>
  <c r="O5" i="37"/>
  <c r="M4" i="37"/>
  <c r="J4" i="37"/>
  <c r="L12" i="37"/>
  <c r="G4" i="37"/>
  <c r="J20" i="37"/>
  <c r="L15" i="37"/>
  <c r="J6" i="37"/>
  <c r="E12" i="37"/>
  <c r="N2" i="37"/>
  <c r="J25" i="37"/>
  <c r="F2" i="37"/>
  <c r="L29" i="37"/>
  <c r="G30" i="37"/>
  <c r="G19" i="37"/>
  <c r="G9" i="37"/>
  <c r="G3" i="37"/>
  <c r="C6" i="37"/>
  <c r="M11" i="37"/>
  <c r="O12" i="37"/>
  <c r="L18" i="37"/>
  <c r="F17" i="37"/>
  <c r="N18" i="37"/>
  <c r="E18" i="37"/>
  <c r="L9" i="37"/>
  <c r="L22" i="37"/>
  <c r="K8" i="37"/>
  <c r="K13" i="37"/>
  <c r="J10" i="37"/>
  <c r="K4" i="37"/>
  <c r="L21" i="37"/>
  <c r="C13" i="37"/>
  <c r="M19" i="37"/>
  <c r="F14" i="37"/>
  <c r="C22" i="37"/>
  <c r="G21" i="37"/>
  <c r="M13" i="37"/>
  <c r="O18" i="37"/>
  <c r="D29" i="37"/>
  <c r="L10" i="37"/>
  <c r="L27" i="37"/>
  <c r="K22" i="37"/>
  <c r="C29" i="37"/>
  <c r="B17" i="37"/>
  <c r="E7" i="37"/>
  <c r="M16" i="37"/>
  <c r="M20" i="37"/>
  <c r="J30" i="37"/>
  <c r="J11" i="37"/>
  <c r="N7" i="37"/>
  <c r="M8" i="37"/>
  <c r="L19" i="37"/>
  <c r="C2" i="37"/>
  <c r="K29" i="37"/>
  <c r="O11" i="37"/>
  <c r="O8" i="37"/>
  <c r="B5" i="37"/>
  <c r="D24" i="37"/>
  <c r="B13" i="37"/>
  <c r="N15" i="37"/>
  <c r="M23" i="37"/>
  <c r="K9" i="37"/>
  <c r="K24" i="37"/>
  <c r="B15" i="37"/>
  <c r="F23" i="37"/>
  <c r="G24" i="37"/>
  <c r="D25" i="37"/>
  <c r="C28" i="37"/>
  <c r="D23" i="37"/>
  <c r="C30" i="37"/>
  <c r="E2" i="37"/>
  <c r="N11" i="37"/>
  <c r="K15" i="37"/>
  <c r="N22" i="37"/>
  <c r="D14" i="37"/>
  <c r="O27" i="37"/>
  <c r="M10" i="37"/>
  <c r="F15" i="37"/>
  <c r="F26" i="37"/>
  <c r="J17" i="37"/>
  <c r="J3" i="37"/>
  <c r="K27" i="37"/>
  <c r="O29" i="37"/>
  <c r="G22" i="37"/>
  <c r="N19" i="37"/>
  <c r="N12" i="37"/>
  <c r="D30" i="37"/>
  <c r="G25" i="37"/>
  <c r="D12" i="37"/>
  <c r="C14" i="37"/>
  <c r="M22" i="37"/>
  <c r="K23" i="37"/>
  <c r="B25" i="37"/>
  <c r="J2" i="37"/>
  <c r="O28" i="37"/>
  <c r="C10" i="37"/>
  <c r="M30" i="37"/>
  <c r="D6" i="37"/>
  <c r="B12" i="37"/>
  <c r="B29" i="37"/>
  <c r="M27" i="37"/>
  <c r="B28" i="37"/>
  <c r="C16" i="37"/>
  <c r="B9" i="37"/>
  <c r="C24" i="37"/>
  <c r="E3" i="37"/>
  <c r="O17" i="37"/>
  <c r="B18" i="37"/>
  <c r="G2" i="37"/>
  <c r="C7" i="37"/>
  <c r="K20" i="37"/>
  <c r="O22" i="37"/>
  <c r="M28" i="37"/>
  <c r="N8" i="37"/>
  <c r="B26" i="37"/>
  <c r="L17" i="37"/>
  <c r="J21" i="37"/>
  <c r="M9" i="37"/>
  <c r="F9" i="37"/>
  <c r="J19" i="37"/>
  <c r="K25" i="37"/>
  <c r="G28" i="37"/>
  <c r="G15" i="37"/>
  <c r="N13" i="37"/>
  <c r="M5" i="37"/>
  <c r="D2" i="37"/>
  <c r="L16" i="37"/>
  <c r="G14" i="37"/>
  <c r="K17" i="37"/>
  <c r="N25" i="37"/>
  <c r="M14" i="37"/>
  <c r="K6" i="37"/>
  <c r="J23" i="37"/>
  <c r="D22" i="37"/>
  <c r="O6" i="37"/>
  <c r="N17" i="37"/>
  <c r="D5" i="37"/>
  <c r="N9" i="37"/>
  <c r="D7" i="37"/>
  <c r="G6" i="37"/>
  <c r="G20" i="37"/>
  <c r="N6" i="37"/>
  <c r="F24" i="37"/>
  <c r="O26" i="37"/>
  <c r="O14" i="37"/>
  <c r="M29" i="37"/>
  <c r="D10" i="37"/>
  <c r="L3" i="37"/>
  <c r="J28" i="37"/>
  <c r="C19" i="37"/>
  <c r="C3" i="37"/>
  <c r="C4" i="37"/>
  <c r="K5" i="37"/>
  <c r="D17" i="37"/>
  <c r="K10" i="37"/>
  <c r="E6" i="37"/>
  <c r="F8" i="37"/>
  <c r="J15" i="37"/>
  <c r="L20" i="37"/>
  <c r="M17" i="37"/>
  <c r="N29" i="37"/>
  <c r="G17" i="37"/>
  <c r="J13" i="37"/>
  <c r="B2" i="37"/>
  <c r="F30" i="37"/>
  <c r="K21" i="37"/>
  <c r="E26" i="37"/>
  <c r="B3" i="37"/>
  <c r="N28" i="37"/>
  <c r="O20" i="37"/>
  <c r="K28" i="37"/>
  <c r="O3" i="37"/>
  <c r="B19" i="37"/>
  <c r="D8" i="37"/>
  <c r="N5" i="37"/>
  <c r="L28" i="37"/>
  <c r="L7" i="37"/>
  <c r="C27" i="37"/>
  <c r="K14" i="37"/>
  <c r="F12" i="37"/>
  <c r="E4" i="37"/>
  <c r="O15" i="37"/>
  <c r="O16" i="37"/>
  <c r="M12" i="37"/>
  <c r="L11" i="37"/>
  <c r="O25" i="37"/>
  <c r="N27" i="37"/>
  <c r="K30" i="37"/>
  <c r="N21" i="37"/>
  <c r="M15" i="37"/>
  <c r="D4" i="37"/>
  <c r="F27" i="37"/>
  <c r="O10" i="37"/>
  <c r="G12" i="37"/>
  <c r="L6" i="37"/>
  <c r="L30" i="37"/>
  <c r="N26" i="37"/>
  <c r="D11" i="37"/>
  <c r="M24" i="37"/>
  <c r="N20" i="37"/>
  <c r="C21" i="37"/>
  <c r="E27" i="37"/>
  <c r="J8" i="37"/>
  <c r="F18" i="37"/>
  <c r="O13" i="37"/>
  <c r="G7" i="37"/>
  <c r="E17" i="37"/>
  <c r="L13" i="37"/>
  <c r="J26" i="37"/>
  <c r="E23" i="37"/>
  <c r="L4" i="37"/>
  <c r="E16" i="37"/>
  <c r="F10" i="37"/>
  <c r="E20" i="37"/>
  <c r="E5" i="37"/>
  <c r="B10" i="37"/>
  <c r="E15" i="37"/>
  <c r="F13" i="37"/>
  <c r="G10" i="37"/>
  <c r="J12" i="37"/>
  <c r="K2" i="37"/>
  <c r="E9" i="37"/>
  <c r="B8" i="37"/>
  <c r="B22" i="37"/>
  <c r="J14" i="37"/>
  <c r="F3" i="37"/>
  <c r="J27" i="37"/>
  <c r="E14" i="37"/>
  <c r="J7" i="37"/>
  <c r="G23" i="37"/>
  <c r="E22" i="37"/>
  <c r="L14" i="37"/>
  <c r="B27" i="37"/>
  <c r="L5" i="37"/>
  <c r="D21" i="37"/>
  <c r="L24" i="37"/>
  <c r="E10" i="37"/>
  <c r="N10" i="37"/>
  <c r="E24" i="37"/>
  <c r="K19" i="37"/>
  <c r="D3" i="37"/>
  <c r="F19" i="37"/>
  <c r="K16" i="37"/>
  <c r="E13" i="37"/>
  <c r="F4" i="37"/>
  <c r="K11" i="37"/>
  <c r="C23" i="37"/>
  <c r="M6" i="37"/>
  <c r="B7" i="37"/>
  <c r="F16" i="37"/>
  <c r="D27" i="37"/>
  <c r="G13" i="37"/>
  <c r="D20" i="37"/>
  <c r="N30" i="37"/>
  <c r="F7" i="37"/>
  <c r="D13" i="37"/>
  <c r="O21" i="37"/>
  <c r="C18" i="37"/>
  <c r="C8" i="37"/>
  <c r="D9" i="37"/>
  <c r="O23" i="37"/>
  <c r="E11" i="37"/>
  <c r="F11" i="37"/>
  <c r="C12" i="37"/>
  <c r="N4" i="37"/>
  <c r="L2" i="37"/>
  <c r="E30" i="37"/>
  <c r="M26" i="37"/>
  <c r="K26" i="37"/>
  <c r="N24" i="37"/>
  <c r="K3" i="37"/>
  <c r="F21" i="37"/>
  <c r="L8" i="37"/>
  <c r="N14" i="37"/>
  <c r="G5" i="37"/>
  <c r="M18" i="37"/>
  <c r="G27" i="37"/>
  <c r="H7" i="37" l="1"/>
  <c r="H27" i="37"/>
  <c r="P7" i="37"/>
  <c r="P27" i="37"/>
  <c r="P14" i="37"/>
  <c r="H22" i="37"/>
  <c r="H8" i="37"/>
  <c r="P12" i="37"/>
  <c r="H10" i="37"/>
  <c r="P26" i="37"/>
  <c r="P8" i="37"/>
  <c r="H19" i="37"/>
  <c r="H3" i="37"/>
  <c r="H2" i="37"/>
  <c r="P13" i="37"/>
  <c r="P15" i="37"/>
  <c r="P28" i="37"/>
  <c r="P23" i="37"/>
  <c r="P19" i="37"/>
  <c r="P21" i="37"/>
  <c r="H26" i="37"/>
  <c r="H18" i="37"/>
  <c r="H9" i="37"/>
  <c r="H28" i="37"/>
  <c r="H29" i="37"/>
  <c r="H12" i="37"/>
  <c r="P2" i="37"/>
  <c r="H25" i="37"/>
  <c r="P3" i="37"/>
  <c r="P17" i="37"/>
  <c r="H15" i="37"/>
  <c r="H13" i="37"/>
  <c r="H5" i="37"/>
  <c r="P11" i="37"/>
  <c r="P30" i="37"/>
  <c r="H17" i="37"/>
  <c r="P10" i="37"/>
  <c r="P25" i="37"/>
  <c r="P6" i="37"/>
  <c r="P20" i="37"/>
  <c r="P4" i="37"/>
  <c r="P16" i="37"/>
  <c r="H30" i="37"/>
  <c r="P24" i="37"/>
  <c r="H21" i="37"/>
  <c r="P22" i="37"/>
  <c r="P5" i="37"/>
  <c r="H11" i="37"/>
  <c r="P29" i="37"/>
  <c r="H4" i="37"/>
  <c r="H24" i="37"/>
  <c r="H23" i="37"/>
  <c r="H6" i="37"/>
  <c r="H14" i="37"/>
  <c r="P18" i="37"/>
  <c r="H16" i="37"/>
  <c r="H20" i="37"/>
  <c r="P9" i="37"/>
  <c r="Q18" i="37" l="1"/>
  <c r="Q24" i="37"/>
  <c r="Q30" i="37"/>
  <c r="Q2" i="37"/>
  <c r="Q9" i="37"/>
  <c r="R24" i="37"/>
  <c r="I24" i="37"/>
  <c r="R16" i="37"/>
  <c r="I16" i="37"/>
  <c r="I11" i="37"/>
  <c r="R11" i="37"/>
  <c r="Q20" i="37"/>
  <c r="I13" i="37"/>
  <c r="R13" i="37"/>
  <c r="R28" i="37"/>
  <c r="I28" i="37"/>
  <c r="Q15" i="37"/>
  <c r="Q12" i="37"/>
  <c r="Q5" i="37"/>
  <c r="Q6" i="37"/>
  <c r="I15" i="37"/>
  <c r="R15" i="37"/>
  <c r="R9" i="37"/>
  <c r="I9" i="37"/>
  <c r="Q13" i="37"/>
  <c r="I8" i="37"/>
  <c r="R8" i="37"/>
  <c r="I14" i="37"/>
  <c r="R14" i="37"/>
  <c r="Q22" i="37"/>
  <c r="Q25" i="37"/>
  <c r="Q17" i="37"/>
  <c r="R18" i="37"/>
  <c r="I18" i="37"/>
  <c r="I2" i="37"/>
  <c r="R2" i="37"/>
  <c r="I22" i="37"/>
  <c r="R22" i="37"/>
  <c r="R30" i="37"/>
  <c r="I30" i="37"/>
  <c r="I6" i="37"/>
  <c r="R6" i="37"/>
  <c r="I21" i="37"/>
  <c r="R21" i="37"/>
  <c r="Q10" i="37"/>
  <c r="Q3" i="37"/>
  <c r="I26" i="37"/>
  <c r="R26" i="37"/>
  <c r="I3" i="37"/>
  <c r="R3" i="37"/>
  <c r="Q14" i="37"/>
  <c r="I17" i="37"/>
  <c r="R17" i="37"/>
  <c r="R25" i="37"/>
  <c r="I25" i="37"/>
  <c r="Q21" i="37"/>
  <c r="I19" i="37"/>
  <c r="R19" i="37"/>
  <c r="Q27" i="37"/>
  <c r="Q19" i="37"/>
  <c r="Q8" i="37"/>
  <c r="Q7" i="37"/>
  <c r="R23" i="37"/>
  <c r="I23" i="37"/>
  <c r="I4" i="37"/>
  <c r="R4" i="37"/>
  <c r="Q16" i="37"/>
  <c r="Q11" i="37"/>
  <c r="R12" i="37"/>
  <c r="I12" i="37"/>
  <c r="Q23" i="37"/>
  <c r="Q26" i="37"/>
  <c r="I27" i="37"/>
  <c r="R27" i="37"/>
  <c r="R20" i="37"/>
  <c r="I20" i="37"/>
  <c r="Q29" i="37"/>
  <c r="Q4" i="37"/>
  <c r="R5" i="37"/>
  <c r="I5" i="37"/>
  <c r="R29" i="37"/>
  <c r="I29" i="37"/>
  <c r="Q28" i="37"/>
  <c r="R10" i="37"/>
  <c r="I10" i="37"/>
  <c r="R7" i="37"/>
  <c r="I7" i="37"/>
  <c r="S7" i="37" l="1"/>
  <c r="S13" i="37"/>
  <c r="S12" i="37"/>
  <c r="S17" i="37"/>
  <c r="S14" i="37"/>
  <c r="S22" i="37"/>
  <c r="S15" i="37"/>
  <c r="S10" i="37"/>
  <c r="S21" i="37"/>
  <c r="S2" i="37"/>
  <c r="S24" i="37"/>
  <c r="S20" i="37"/>
  <c r="S8" i="37"/>
  <c r="S11" i="37"/>
  <c r="S25" i="37"/>
  <c r="S27" i="37"/>
  <c r="S3" i="37"/>
  <c r="S29" i="37"/>
  <c r="S18" i="37"/>
  <c r="S4" i="37"/>
  <c r="S6" i="37"/>
  <c r="S26" i="37"/>
  <c r="S16" i="37"/>
  <c r="S19" i="37"/>
  <c r="S5" i="37"/>
  <c r="S23" i="37"/>
  <c r="S30" i="37"/>
  <c r="S9" i="37"/>
  <c r="S28" i="37"/>
</calcChain>
</file>

<file path=xl/sharedStrings.xml><?xml version="1.0" encoding="utf-8"?>
<sst xmlns="http://schemas.openxmlformats.org/spreadsheetml/2006/main" count="418" uniqueCount="72">
  <si>
    <t>權重</t>
  </si>
  <si>
    <t>總分</t>
  </si>
  <si>
    <t>課長</t>
  </si>
  <si>
    <t>生管</t>
  </si>
  <si>
    <t>品管</t>
  </si>
  <si>
    <t>x</t>
  </si>
  <si>
    <t>平均</t>
  </si>
  <si>
    <t>密碼</t>
  </si>
  <si>
    <t>權限表</t>
  </si>
  <si>
    <t>y</t>
  </si>
  <si>
    <t>n</t>
  </si>
  <si>
    <t>名稱</t>
  </si>
  <si>
    <t>廠長</t>
  </si>
  <si>
    <t>月份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</si>
  <si>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</si>
  <si>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</si>
  <si>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</si>
  <si>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</si>
  <si>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</si>
  <si>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</si>
  <si>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</si>
  <si>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</si>
  <si>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</si>
  <si>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</si>
  <si>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</si>
  <si>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</si>
  <si>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1月</t>
    <phoneticPr fontId="1" type="noConversion"/>
  </si>
  <si>
    <t>2月</t>
    <phoneticPr fontId="1" type="noConversion"/>
  </si>
  <si>
    <t>3月</t>
  </si>
  <si>
    <t>4月</t>
  </si>
  <si>
    <t>5月</t>
  </si>
  <si>
    <t>6月</t>
  </si>
  <si>
    <t>上半年</t>
    <phoneticPr fontId="1" type="noConversion"/>
  </si>
  <si>
    <t>排名</t>
    <phoneticPr fontId="1" type="noConversion"/>
  </si>
  <si>
    <t>7月</t>
  </si>
  <si>
    <t>8月</t>
  </si>
  <si>
    <t>9月</t>
  </si>
  <si>
    <t>10月</t>
  </si>
  <si>
    <t>11月</t>
  </si>
  <si>
    <t>12月</t>
  </si>
  <si>
    <t>下半年</t>
    <phoneticPr fontId="1" type="noConversion"/>
  </si>
  <si>
    <t>排名</t>
    <phoneticPr fontId="1" type="noConversion"/>
  </si>
  <si>
    <t>年度</t>
    <phoneticPr fontId="1" type="noConversion"/>
  </si>
  <si>
    <t>年度排名</t>
    <phoneticPr fontId="1" type="noConversion"/>
  </si>
  <si>
    <t>全部</t>
  </si>
  <si>
    <t>袁儒屏</t>
  </si>
  <si>
    <t>丁裕翔</t>
  </si>
  <si>
    <t>黃姿春</t>
  </si>
  <si>
    <t>洪恒雲</t>
  </si>
  <si>
    <t>張雅婷</t>
  </si>
  <si>
    <t>霍禹帆</t>
  </si>
  <si>
    <t>欒美玲</t>
  </si>
  <si>
    <t>許允純</t>
  </si>
  <si>
    <t>林國容</t>
  </si>
  <si>
    <t>陳雲喬</t>
  </si>
  <si>
    <t>李念翰</t>
  </si>
  <si>
    <t>王夢瑋</t>
  </si>
  <si>
    <t>鄭中東</t>
  </si>
  <si>
    <t>蔣姿伶</t>
  </si>
  <si>
    <t>黃筱婷</t>
  </si>
  <si>
    <t>陳瑋蘋</t>
  </si>
  <si>
    <t>洪佑舜</t>
  </si>
  <si>
    <t>羅苑云</t>
  </si>
  <si>
    <t>倪香屏</t>
  </si>
  <si>
    <t>潘俞幸</t>
  </si>
  <si>
    <t>黃秉樂</t>
  </si>
  <si>
    <t>曾竹玟</t>
  </si>
  <si>
    <t>林育婷</t>
  </si>
  <si>
    <t>謝志宏</t>
  </si>
  <si>
    <t>人資</t>
  </si>
  <si>
    <t>組長一</t>
  </si>
  <si>
    <t>組長二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</si>
</sst>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[Black][&gt;=60]General;[Red][&lt;60]General"/>
  </numFmts>
  <fonts count="10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2"/>
      <color theme="1"/>
      <name val="標楷體"/>
      <family val="4"/>
      <charset val="136"/>
    </font>
    <font>
      <sz val="10"/>
      <color indexed="8"/>
      <name val="Arial"/>
      <family val="2"/>
    </font>
    <font>
      <sz val="12"/>
      <color indexed="8"/>
      <name val="標楷體"/>
      <family val="4"/>
      <charset val="136"/>
    </font>
    <font>
      <sz val="14"/>
      <color theme="1"/>
      <name val="標楷體"/>
      <family val="4"/>
      <charset val="136"/>
    </font>
    <font>
      <u/>
      <sz val="12"/>
      <color theme="1"/>
      <name val="標楷體"/>
      <family val="4"/>
      <charset val="136"/>
    </font>
    <font>
      <u/>
      <sz val="14"/>
      <color theme="1"/>
      <name val="標楷體"/>
      <family val="4"/>
      <charset val="136"/>
    </font>
    <font>
      <sz val="12"/>
      <color theme="0"/>
      <name val="Calibri"/>
      <family val="2"/>
      <charset val="136"/>
      <scheme val="minor"/>
    </font>
    <font>
      <b/>
      <sz val="12"/>
      <color theme="1"/>
      <name val="標楷體"/>
      <family val="4"/>
      <charset val="136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34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Alignment="1"/>
    <xf numFmtId="0" fontId="5" fillId="0" borderId="1" xfId="0" applyFont="1" applyBorder="1" applyAlignment="1" applyProtection="1">
      <alignment vertical="center"/>
    </xf>
    <xf numFmtId="164" fontId="5" fillId="0" borderId="1" xfId="0" applyNumberFormat="1" applyFont="1" applyBorder="1" applyAlignment="1">
      <alignment vertical="center"/>
    </xf>
    <xf numFmtId="0" fontId="7" fillId="0" borderId="1" xfId="0" applyFont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Font="1">
      <alignment vertical="center"/>
    </xf>
    <xf numFmtId="0" fontId="8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49" fontId="4" fillId="0" borderId="0" xfId="1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externalLinkPath" Target="/Users/user/Downloads/my_&#32771;&#32318;/&#37528;&#20305;&#32771;&#32318;&#35413;&#20998;&#32113;&#35336;&#34920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tabSelected="1" topLeftCell="A13" workbookViewId="0">
      <selection activeCell="O19" sqref="O19"/>
    </sheetView>
  </sheetViews>
  <sheetFormatPr defaultRowHeight="15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0"/>
  <sheetViews>
    <sheetView workbookViewId="0">
      <selection activeCell="D17" sqref="D17"/>
    </sheetView>
  </sheetViews>
  <sheetFormatPr defaultRowHeight="15.5"/>
  <sheetData>
    <row r="1" spans="1:8">
      <c r="A1" s="12" t="s">
        <v>11</v>
      </c>
      <c r="B1" s="12" t="s">
        <v>12</v>
      </c>
      <c r="C1" s="12" t="s">
        <v>2</v>
      </c>
      <c r="D1" s="12" t="s">
        <v>70</v>
      </c>
      <c r="E1" s="12" t="s">
        <v>71</v>
      </c>
      <c r="F1" s="12" t="s">
        <v>4</v>
      </c>
      <c r="G1" s="12" t="s">
        <v>69</v>
      </c>
      <c r="H1" s="12"/>
    </row>
    <row r="2" spans="1:8">
      <c r="A2" s="12" t="s">
        <v>7</v>
      </c>
      <c r="B2" s="12">
        <f ca="1">INDIRECT(B$1&amp;"!G1")</f>
        <v>0</v>
      </c>
      <c r="C2" s="12">
        <f t="shared" ref="C2:G2" ca="1" si="0">INDIRECT(C$1&amp;"!G1")</f>
        <v>0</v>
      </c>
      <c r="D2" s="12">
        <f t="shared" ca="1" si="0"/>
        <v>0</v>
      </c>
      <c r="E2" s="12">
        <f t="shared" ca="1" si="0"/>
        <v>0</v>
      </c>
      <c r="F2" s="12">
        <f t="shared" ca="1" si="0"/>
        <v>0</v>
      </c>
      <c r="G2" s="12">
        <f t="shared" ca="1" si="0"/>
        <v>0</v>
      </c>
      <c r="H2" s="12"/>
    </row>
    <row r="3" spans="1:8">
      <c r="A3" s="12" t="s">
        <v>8</v>
      </c>
      <c r="B3" s="12" t="s">
        <v>9</v>
      </c>
      <c r="C3" s="12" t="s">
        <v>10</v>
      </c>
      <c r="D3" s="12" t="s">
        <v>10</v>
      </c>
      <c r="E3" s="12" t="s">
        <v>10</v>
      </c>
      <c r="F3" s="12" t="s">
        <v>10</v>
      </c>
      <c r="G3" s="12" t="s">
        <v>10</v>
      </c>
      <c r="H3" s="12"/>
    </row>
    <row r="4" spans="1:8">
      <c r="A4" s="12" t="s">
        <v>12</v>
      </c>
      <c r="B4" s="12" t="s">
        <v>9</v>
      </c>
      <c r="C4" s="12" t="s">
        <v>10</v>
      </c>
      <c r="D4" s="12" t="s">
        <v>10</v>
      </c>
      <c r="E4" s="12" t="s">
        <v>10</v>
      </c>
      <c r="F4" s="12" t="s">
        <v>10</v>
      </c>
      <c r="G4" s="12" t="s">
        <v>10</v>
      </c>
      <c r="H4" s="12"/>
    </row>
    <row r="5" spans="1:8">
      <c r="A5" s="12" t="s">
        <v>2</v>
      </c>
      <c r="B5" s="12" t="s">
        <v>9</v>
      </c>
      <c r="C5" s="12" t="s">
        <v>9</v>
      </c>
      <c r="D5" s="12" t="s">
        <v>10</v>
      </c>
      <c r="E5" s="12" t="s">
        <v>10</v>
      </c>
      <c r="F5" s="12" t="s">
        <v>10</v>
      </c>
      <c r="G5" s="12" t="s">
        <v>10</v>
      </c>
      <c r="H5" s="12"/>
    </row>
    <row r="6" spans="1:8">
      <c r="A6" s="12" t="s">
        <v>70</v>
      </c>
      <c r="B6" s="12" t="s">
        <v>9</v>
      </c>
      <c r="C6" s="12" t="s">
        <v>10</v>
      </c>
      <c r="D6" s="12" t="s">
        <v>9</v>
      </c>
      <c r="E6" s="12" t="s">
        <v>10</v>
      </c>
      <c r="F6" s="12" t="s">
        <v>10</v>
      </c>
      <c r="G6" s="12" t="s">
        <v>10</v>
      </c>
      <c r="H6" s="12"/>
    </row>
    <row r="7" spans="1:8">
      <c r="A7" s="12" t="s">
        <v>71</v>
      </c>
      <c r="B7" s="12" t="s">
        <v>9</v>
      </c>
      <c r="C7" s="12" t="s">
        <v>10</v>
      </c>
      <c r="D7" s="12" t="s">
        <v>10</v>
      </c>
      <c r="E7" s="12" t="s">
        <v>9</v>
      </c>
      <c r="F7" s="12" t="s">
        <v>10</v>
      </c>
      <c r="G7" s="12" t="s">
        <v>10</v>
      </c>
      <c r="H7" s="12"/>
    </row>
    <row r="8" spans="1:8">
      <c r="A8" s="12" t="s">
        <v>4</v>
      </c>
      <c r="B8" s="12" t="s">
        <v>9</v>
      </c>
      <c r="C8" s="12" t="s">
        <v>10</v>
      </c>
      <c r="D8" s="12" t="s">
        <v>10</v>
      </c>
      <c r="E8" s="12" t="s">
        <v>10</v>
      </c>
      <c r="F8" s="12" t="s">
        <v>9</v>
      </c>
      <c r="G8" s="12" t="s">
        <v>10</v>
      </c>
      <c r="H8" s="12"/>
    </row>
    <row r="9" spans="1:8">
      <c r="A9" s="12" t="s">
        <v>3</v>
      </c>
      <c r="B9" s="12" t="s">
        <v>9</v>
      </c>
      <c r="C9" s="12" t="s">
        <v>10</v>
      </c>
      <c r="D9" s="12" t="s">
        <v>10</v>
      </c>
      <c r="E9" s="12" t="s">
        <v>10</v>
      </c>
      <c r="F9" s="12" t="s">
        <v>10</v>
      </c>
      <c r="G9" s="12" t="s">
        <v>9</v>
      </c>
      <c r="H9" s="12"/>
    </row>
    <row r="10" spans="1:8">
      <c r="A10" s="12" t="s">
        <v>44</v>
      </c>
      <c r="B10" s="12" t="s">
        <v>9</v>
      </c>
      <c r="C10" s="12" t="s">
        <v>10</v>
      </c>
      <c r="D10" s="12" t="s">
        <v>10</v>
      </c>
      <c r="E10" s="12" t="s">
        <v>10</v>
      </c>
      <c r="F10" s="12" t="s">
        <v>10</v>
      </c>
      <c r="G10" s="12" t="s">
        <v>10</v>
      </c>
      <c r="H1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32"/>
  <sheetViews>
    <sheetView zoomScale="90" zoomScaleNormal="90" workbookViewId="0">
      <selection activeCell="C9" sqref="C9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12</v>
      </c>
      <c r="B1" s="18"/>
      <c r="C1" s="20" t="s">
        <v>0</v>
      </c>
      <c r="D1" s="21">
        <v>50</v>
      </c>
      <c r="E1" s="17"/>
      <c r="F1" s="22" t="s">
        <v>7</v>
      </c>
      <c r="G1" s="23">
        <v>0</v>
      </c>
      <c r="I1" s="10"/>
    </row>
    <row r="3" spans="1:13" ht="25.15" customHeight="1">
      <c r="A3" s="9" t="s">
        <v>13</v>
      </c>
      <c r="B3" s="15" t="s">
        <v>14</v>
      </c>
      <c r="C3" s="11" t="s">
        <v>15</v>
      </c>
      <c r="D3" s="11" t="s">
        <v>16</v>
      </c>
      <c r="E3" s="11" t="s">
        <v>17</v>
      </c>
      <c r="F3" s="11" t="s">
        <v>18</v>
      </c>
      <c r="G3" s="11" t="s">
        <v>19</v>
      </c>
      <c r="H3" s="11" t="s">
        <v>20</v>
      </c>
      <c r="I3" s="11" t="s">
        <v>21</v>
      </c>
      <c r="J3" s="11" t="s">
        <v>22</v>
      </c>
      <c r="K3" s="11" t="s">
        <v>23</v>
      </c>
      <c r="L3" s="11" t="s">
        <v>24</v>
      </c>
      <c r="M3" s="11" t="s">
        <v>25</v>
      </c>
    </row>
    <row r="4" spans="1:13" ht="25.15" customHeight="1">
      <c r="A4" s="5" t="s">
        <v>45</v>
      </c>
      <c r="B4" s="13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5.15" customHeight="1">
      <c r="A5" s="5" t="s">
        <v>46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5" t="s">
        <v>47</v>
      </c>
      <c r="B6" s="13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25.15" customHeight="1">
      <c r="A7" s="5" t="s">
        <v>48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6" t="s">
        <v>49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6" t="s">
        <v>50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6" t="s">
        <v>51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6" t="s">
        <v>52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6" t="s">
        <v>53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6" t="s">
        <v>54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6" t="s">
        <v>55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6" t="s">
        <v>56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6" t="s">
        <v>57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6" t="s">
        <v>58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6" t="s">
        <v>59</v>
      </c>
      <c r="B18" s="13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ht="25.15" customHeight="1">
      <c r="A19" s="6" t="s">
        <v>60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6" t="s">
        <v>61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6" t="s">
        <v>62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6" t="s">
        <v>63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6" t="s">
        <v>64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6" t="s">
        <v>65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6" t="s">
        <v>66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2" t="s">
        <v>67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2" t="s">
        <v>68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2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2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2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2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2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kP67950YmkhJpfl1XG+5M/EyIxR7nk6qVLMUXVwJLsfTjF5z2V8tcVWjmCzjJrLf65bHzlW48lKNcyaaMN/XUA==" saltValue="Ys7l7udN5GTXfnhs1wyvCQ==" spinCount="100000" sheet="1" objects="1" scenarios="1"/>
  <protectedRanges>
    <protectedRange sqref="G1 B4:M32 A4:A32" name="範圍1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32"/>
  <sheetViews>
    <sheetView zoomScale="90" zoomScaleNormal="90" workbookViewId="0">
      <selection activeCell="G2" sqref="G2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2</v>
      </c>
      <c r="B1" s="18"/>
      <c r="C1" s="20" t="s">
        <v>0</v>
      </c>
      <c r="D1" s="21">
        <v>10</v>
      </c>
      <c r="E1" s="17"/>
      <c r="F1" s="22" t="s">
        <v>7</v>
      </c>
      <c r="G1" s="23">
        <v>0</v>
      </c>
      <c r="I1" s="10"/>
    </row>
    <row r="3" spans="1:13" ht="25.15" customHeight="1">
      <c r="A3" s="9" t="s">
        <v>13</v>
      </c>
      <c r="B3" s="15" t="s">
        <v>14</v>
      </c>
      <c r="C3" s="11" t="s">
        <v>15</v>
      </c>
      <c r="D3" s="11" t="s">
        <v>16</v>
      </c>
      <c r="E3" s="11" t="s">
        <v>17</v>
      </c>
      <c r="F3" s="11" t="s">
        <v>18</v>
      </c>
      <c r="G3" s="11" t="s">
        <v>19</v>
      </c>
      <c r="H3" s="11" t="s">
        <v>20</v>
      </c>
      <c r="I3" s="11" t="s">
        <v>21</v>
      </c>
      <c r="J3" s="11" t="s">
        <v>22</v>
      </c>
      <c r="K3" s="11" t="s">
        <v>23</v>
      </c>
      <c r="L3" s="11" t="s">
        <v>24</v>
      </c>
      <c r="M3" s="11" t="s">
        <v>25</v>
      </c>
    </row>
    <row r="4" spans="1:13" ht="25.15" customHeight="1">
      <c r="A4" s="31" t="str">
        <f>IF(廠長!A4="","",廠長!A4)</f>
        <v>袁儒屏</v>
      </c>
      <c r="B4" s="13" t="s">
        <v>5</v>
      </c>
      <c r="C4" s="13" t="s">
        <v>5</v>
      </c>
      <c r="D4" s="13" t="s">
        <v>5</v>
      </c>
      <c r="E4" s="13" t="s">
        <v>5</v>
      </c>
      <c r="F4" s="13" t="s">
        <v>5</v>
      </c>
      <c r="G4" s="13" t="s">
        <v>5</v>
      </c>
      <c r="H4" s="13" t="s">
        <v>5</v>
      </c>
      <c r="I4" s="13" t="s">
        <v>5</v>
      </c>
      <c r="J4" s="13" t="s">
        <v>5</v>
      </c>
      <c r="K4" s="13" t="s">
        <v>5</v>
      </c>
      <c r="L4" s="13" t="s">
        <v>5</v>
      </c>
      <c r="M4" s="13" t="s">
        <v>5</v>
      </c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eoF1w2W9Zhy9YiwYbqTXPjBK5+Nt0Xf4+9XgAM8uGuoZxFX1C/vCRSWvqMUADMMobvxfU+0EN5rksn96fW6/+A==" saltValue="XEx/EEVDkjI1AIIgr+TTqQ==" spinCount="100000" sheet="1" objects="1" scenarios="1"/>
  <protectedRanges>
    <protectedRange sqref="B5:M32 G1" name="範圍1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M32"/>
  <sheetViews>
    <sheetView zoomScale="90" zoomScaleNormal="90" workbookViewId="0">
      <selection activeCell="D3" sqref="D3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71</v>
      </c>
      <c r="B1" s="18"/>
      <c r="C1" s="20" t="s">
        <v>0</v>
      </c>
      <c r="D1" s="21">
        <v>10</v>
      </c>
      <c r="E1" s="17"/>
      <c r="F1" s="22" t="s">
        <v>7</v>
      </c>
      <c r="G1" s="23">
        <v>0</v>
      </c>
      <c r="I1" s="10"/>
    </row>
    <row r="3" spans="1:13" ht="25.15" customHeight="1">
      <c r="A3" s="9" t="s">
        <v>13</v>
      </c>
      <c r="B3" s="15" t="s">
        <v>14</v>
      </c>
      <c r="C3" s="11" t="s">
        <v>15</v>
      </c>
      <c r="D3" s="11" t="s">
        <v>16</v>
      </c>
      <c r="E3" s="11" t="s">
        <v>17</v>
      </c>
      <c r="F3" s="11" t="s">
        <v>18</v>
      </c>
      <c r="G3" s="11" t="s">
        <v>19</v>
      </c>
      <c r="H3" s="11" t="s">
        <v>20</v>
      </c>
      <c r="I3" s="11" t="s">
        <v>21</v>
      </c>
      <c r="J3" s="11" t="s">
        <v>22</v>
      </c>
      <c r="K3" s="11" t="s">
        <v>23</v>
      </c>
      <c r="L3" s="11" t="s">
        <v>24</v>
      </c>
      <c r="M3" s="11" t="s">
        <v>25</v>
      </c>
    </row>
    <row r="4" spans="1:13" ht="25.15" customHeight="1">
      <c r="A4" s="31" t="str">
        <f>IF(廠長!A4="","",廠長!A4)</f>
        <v>袁儒屏</v>
      </c>
      <c r="B4" s="13" t="s">
        <v>5</v>
      </c>
      <c r="C4" s="13" t="s">
        <v>5</v>
      </c>
      <c r="D4" s="13" t="s">
        <v>5</v>
      </c>
      <c r="E4" s="13" t="s">
        <v>5</v>
      </c>
      <c r="F4" s="13" t="s">
        <v>5</v>
      </c>
      <c r="G4" s="13" t="s">
        <v>5</v>
      </c>
      <c r="H4" s="13" t="s">
        <v>5</v>
      </c>
      <c r="I4" s="13" t="s">
        <v>5</v>
      </c>
      <c r="J4" s="13" t="s">
        <v>5</v>
      </c>
      <c r="K4" s="13" t="s">
        <v>5</v>
      </c>
      <c r="L4" s="13" t="s">
        <v>5</v>
      </c>
      <c r="M4" s="13" t="s">
        <v>5</v>
      </c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 t="s">
        <v>5</v>
      </c>
      <c r="C6" s="13" t="s">
        <v>5</v>
      </c>
      <c r="D6" s="13" t="s">
        <v>5</v>
      </c>
      <c r="E6" s="13" t="s">
        <v>5</v>
      </c>
      <c r="F6" s="13" t="s">
        <v>5</v>
      </c>
      <c r="G6" s="13" t="s">
        <v>5</v>
      </c>
      <c r="H6" s="13" t="s">
        <v>5</v>
      </c>
      <c r="I6" s="13" t="s">
        <v>5</v>
      </c>
      <c r="J6" s="13" t="s">
        <v>5</v>
      </c>
      <c r="K6" s="13" t="s">
        <v>5</v>
      </c>
      <c r="L6" s="13" t="s">
        <v>5</v>
      </c>
      <c r="M6" s="13" t="s">
        <v>5</v>
      </c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xpvxPVKWeGq49Fl+tls/Ss+chrbk40IQNo//Qf3W+pqOlb7RF1Xb3fvEx76Ir5LTbAJeMRYZiBFw36dqlc0qfA==" saltValue="TCAno+5+yHeUClS6zV2qZw==" spinCount="100000" sheet="1" objects="1" scenarios="1"/>
  <protectedRanges>
    <protectedRange sqref="G1 B5:M5 B7:M25 B26:M32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32"/>
  <sheetViews>
    <sheetView zoomScale="90" zoomScaleNormal="90" workbookViewId="0">
      <selection activeCell="E5" sqref="E5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70</v>
      </c>
      <c r="B1" s="18"/>
      <c r="C1" s="20" t="s">
        <v>0</v>
      </c>
      <c r="D1" s="21">
        <v>10</v>
      </c>
      <c r="E1" s="17"/>
      <c r="F1" s="22" t="s">
        <v>7</v>
      </c>
      <c r="G1" s="23">
        <v>0</v>
      </c>
      <c r="I1" s="10"/>
    </row>
    <row r="3" spans="1:13" ht="25.15" customHeight="1">
      <c r="A3" s="9" t="s">
        <v>13</v>
      </c>
      <c r="B3" s="15" t="s">
        <v>14</v>
      </c>
      <c r="C3" s="11" t="s">
        <v>15</v>
      </c>
      <c r="D3" s="11" t="s">
        <v>16</v>
      </c>
      <c r="E3" s="11" t="s">
        <v>17</v>
      </c>
      <c r="F3" s="11" t="s">
        <v>18</v>
      </c>
      <c r="G3" s="11" t="s">
        <v>19</v>
      </c>
      <c r="H3" s="11" t="s">
        <v>20</v>
      </c>
      <c r="I3" s="11" t="s">
        <v>21</v>
      </c>
      <c r="J3" s="11" t="s">
        <v>22</v>
      </c>
      <c r="K3" s="11" t="s">
        <v>23</v>
      </c>
      <c r="L3" s="11" t="s">
        <v>24</v>
      </c>
      <c r="M3" s="11" t="s">
        <v>25</v>
      </c>
    </row>
    <row r="4" spans="1:13" ht="25.15" customHeight="1">
      <c r="A4" s="31" t="str">
        <f>IF(廠長!A4="","",廠長!A4)</f>
        <v>袁儒屏</v>
      </c>
      <c r="B4" s="13" t="s">
        <v>5</v>
      </c>
      <c r="C4" s="13" t="s">
        <v>5</v>
      </c>
      <c r="D4" s="13" t="s">
        <v>5</v>
      </c>
      <c r="E4" s="13" t="s">
        <v>5</v>
      </c>
      <c r="F4" s="13" t="s">
        <v>5</v>
      </c>
      <c r="G4" s="13" t="s">
        <v>5</v>
      </c>
      <c r="H4" s="13" t="s">
        <v>5</v>
      </c>
      <c r="I4" s="13" t="s">
        <v>5</v>
      </c>
      <c r="J4" s="13" t="s">
        <v>5</v>
      </c>
      <c r="K4" s="13" t="s">
        <v>5</v>
      </c>
      <c r="L4" s="13" t="s">
        <v>5</v>
      </c>
      <c r="M4" s="13" t="s">
        <v>5</v>
      </c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 t="s">
        <v>5</v>
      </c>
      <c r="C18" s="13" t="s">
        <v>5</v>
      </c>
      <c r="D18" s="13" t="s">
        <v>5</v>
      </c>
      <c r="E18" s="13" t="s">
        <v>5</v>
      </c>
      <c r="F18" s="13" t="s">
        <v>5</v>
      </c>
      <c r="G18" s="13" t="s">
        <v>5</v>
      </c>
      <c r="H18" s="13" t="s">
        <v>5</v>
      </c>
      <c r="I18" s="13" t="s">
        <v>5</v>
      </c>
      <c r="J18" s="13" t="s">
        <v>5</v>
      </c>
      <c r="K18" s="13" t="s">
        <v>5</v>
      </c>
      <c r="L18" s="13" t="s">
        <v>5</v>
      </c>
      <c r="M18" s="13" t="s">
        <v>5</v>
      </c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nUFknPw9ZWwobAghfzAgLx9EJ3raPc9rEvhHLGpwJjnQEJlPvWo/ElqV5YPrYG0MS2Mm7o7kEXLD9rE2czncFw==" saltValue="of8Ui3ctOaKIv2VsnTBY8A==" spinCount="100000" sheet="1" objects="1" scenarios="1"/>
  <protectedRanges>
    <protectedRange sqref="G1 B5:M17 B19:M25 B25:M3219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M32"/>
  <sheetViews>
    <sheetView zoomScale="90" zoomScaleNormal="90" workbookViewId="0"/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4</v>
      </c>
      <c r="B1" s="18"/>
      <c r="C1" s="20" t="s">
        <v>0</v>
      </c>
      <c r="D1" s="21">
        <v>10</v>
      </c>
      <c r="E1" s="17"/>
      <c r="F1" s="22" t="s">
        <v>7</v>
      </c>
      <c r="G1" s="23">
        <v>0</v>
      </c>
      <c r="I1" s="10"/>
    </row>
    <row r="3" spans="1:13" ht="25.15" customHeight="1">
      <c r="A3" s="9" t="s">
        <v>13</v>
      </c>
      <c r="B3" s="15" t="s">
        <v>14</v>
      </c>
      <c r="C3" s="11" t="s">
        <v>15</v>
      </c>
      <c r="D3" s="11" t="s">
        <v>16</v>
      </c>
      <c r="E3" s="11" t="s">
        <v>17</v>
      </c>
      <c r="F3" s="11" t="s">
        <v>18</v>
      </c>
      <c r="G3" s="11" t="s">
        <v>19</v>
      </c>
      <c r="H3" s="11" t="s">
        <v>20</v>
      </c>
      <c r="I3" s="11" t="s">
        <v>21</v>
      </c>
      <c r="J3" s="11" t="s">
        <v>22</v>
      </c>
      <c r="K3" s="11" t="s">
        <v>23</v>
      </c>
      <c r="L3" s="11" t="s">
        <v>24</v>
      </c>
      <c r="M3" s="11" t="s">
        <v>25</v>
      </c>
    </row>
    <row r="4" spans="1:13" ht="25.15" customHeight="1">
      <c r="A4" s="31" t="str">
        <f>IF(廠長!A4="","",廠長!A4)</f>
        <v>袁儒屏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ht="25.15" customHeight="1">
      <c r="A7" s="31" t="str">
        <f>IF(廠長!A7="","",廠長!A7)</f>
        <v>洪恒雲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13" ht="25.15" customHeight="1">
      <c r="A8" s="31" t="str">
        <f>IF(廠長!A8="","",廠長!A8)</f>
        <v>張雅婷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3" ht="25.15" customHeight="1">
      <c r="A9" s="31" t="str">
        <f>IF(廠長!A9="","",廠長!A9)</f>
        <v>霍禹帆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3" ht="25.15" customHeight="1">
      <c r="A10" s="31" t="str">
        <f>IF(廠長!A10="","",廠長!A10)</f>
        <v>欒美玲</v>
      </c>
      <c r="B10" s="13" t="s">
        <v>5</v>
      </c>
      <c r="C10" s="13" t="s">
        <v>5</v>
      </c>
      <c r="D10" s="13" t="s">
        <v>5</v>
      </c>
      <c r="E10" s="13" t="s">
        <v>5</v>
      </c>
      <c r="F10" s="13" t="s">
        <v>5</v>
      </c>
      <c r="G10" s="13" t="s">
        <v>5</v>
      </c>
      <c r="H10" s="13" t="s">
        <v>5</v>
      </c>
      <c r="I10" s="13" t="s">
        <v>5</v>
      </c>
      <c r="J10" s="13" t="s">
        <v>5</v>
      </c>
      <c r="K10" s="13" t="s">
        <v>5</v>
      </c>
      <c r="L10" s="13" t="s">
        <v>5</v>
      </c>
      <c r="M10" s="13" t="s">
        <v>5</v>
      </c>
    </row>
    <row r="11" spans="1:13" ht="25.15" customHeight="1">
      <c r="A11" s="31" t="str">
        <f>IF(廠長!A11="","",廠長!A11)</f>
        <v>許允純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</row>
    <row r="12" spans="1:13" ht="25.15" customHeight="1">
      <c r="A12" s="31" t="str">
        <f>IF(廠長!A12="","",廠長!A12)</f>
        <v>林國容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ht="25.15" customHeight="1">
      <c r="A13" s="31" t="str">
        <f>IF(廠長!A13="","",廠長!A13)</f>
        <v>陳雲喬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1:13" ht="25.15" customHeight="1">
      <c r="A14" s="31" t="str">
        <f>IF(廠長!A14="","",廠長!A14)</f>
        <v>李念翰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ht="25.15" customHeight="1">
      <c r="A15" s="31" t="str">
        <f>IF(廠長!A15="","",廠長!A15)</f>
        <v>王夢瑋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ht="25.15" customHeight="1">
      <c r="A16" s="31" t="str">
        <f>IF(廠長!A16="","",廠長!A16)</f>
        <v>鄭中東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</row>
    <row r="17" spans="1:13" ht="25.15" customHeight="1">
      <c r="A17" s="31" t="str">
        <f>IF(廠長!A17="","",廠長!A17)</f>
        <v>蔣姿伶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13" ht="25.15" customHeight="1">
      <c r="A18" s="31" t="str">
        <f>IF(廠長!A18="","",廠長!A18)</f>
        <v>黃筱婷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 t="s">
        <v>5</v>
      </c>
      <c r="C20" s="13" t="s">
        <v>5</v>
      </c>
      <c r="D20" s="13" t="s">
        <v>5</v>
      </c>
      <c r="E20" s="13" t="s">
        <v>5</v>
      </c>
      <c r="F20" s="13" t="s">
        <v>5</v>
      </c>
      <c r="G20" s="13" t="s">
        <v>5</v>
      </c>
      <c r="H20" s="13" t="s">
        <v>5</v>
      </c>
      <c r="I20" s="13" t="s">
        <v>5</v>
      </c>
      <c r="J20" s="13" t="s">
        <v>5</v>
      </c>
      <c r="K20" s="13" t="s">
        <v>5</v>
      </c>
      <c r="L20" s="13" t="s">
        <v>5</v>
      </c>
      <c r="M20" s="13" t="s">
        <v>5</v>
      </c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 t="s">
        <v>5</v>
      </c>
      <c r="C22" s="13" t="s">
        <v>5</v>
      </c>
      <c r="D22" s="13" t="s">
        <v>5</v>
      </c>
      <c r="E22" s="13" t="s">
        <v>5</v>
      </c>
      <c r="F22" s="13" t="s">
        <v>5</v>
      </c>
      <c r="G22" s="13" t="s">
        <v>5</v>
      </c>
      <c r="H22" s="13" t="s">
        <v>5</v>
      </c>
      <c r="I22" s="13" t="s">
        <v>5</v>
      </c>
      <c r="J22" s="13" t="s">
        <v>5</v>
      </c>
      <c r="K22" s="13" t="s">
        <v>5</v>
      </c>
      <c r="L22" s="13" t="s">
        <v>5</v>
      </c>
      <c r="M22" s="13" t="s">
        <v>5</v>
      </c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749mEZCBD9MNVkYiuE5Pp+AP17PEy4CQgBKAUJD0obONvjLIcJ3I1V18osnTp7Q0wk6WJoYdeWz/eaQ3IKf1ug==" saltValue="X+s4wEWLHMiUyDKsx9W1lg==" spinCount="100000" sheet="1" objects="1" scenarios="1"/>
  <protectedRanges>
    <protectedRange sqref="G1 B4:M9 B11:M19 B21:M21 B23:M32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M32"/>
  <sheetViews>
    <sheetView zoomScale="90" zoomScaleNormal="90" workbookViewId="0">
      <selection activeCell="B15" sqref="B15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69</v>
      </c>
      <c r="B1" s="18"/>
      <c r="C1" s="20" t="s">
        <v>0</v>
      </c>
      <c r="D1" s="21">
        <v>10</v>
      </c>
      <c r="E1" s="17"/>
      <c r="F1" s="22" t="s">
        <v>7</v>
      </c>
      <c r="G1" s="23">
        <v>0</v>
      </c>
      <c r="I1" s="10"/>
    </row>
    <row r="3" spans="1:13" ht="25.15" customHeight="1">
      <c r="A3" s="9" t="s">
        <v>13</v>
      </c>
      <c r="B3" s="15" t="s">
        <v>14</v>
      </c>
      <c r="C3" s="11" t="s">
        <v>15</v>
      </c>
      <c r="D3" s="11" t="s">
        <v>16</v>
      </c>
      <c r="E3" s="11" t="s">
        <v>17</v>
      </c>
      <c r="F3" s="11" t="s">
        <v>18</v>
      </c>
      <c r="G3" s="11" t="s">
        <v>19</v>
      </c>
      <c r="H3" s="11" t="s">
        <v>20</v>
      </c>
      <c r="I3" s="11" t="s">
        <v>21</v>
      </c>
      <c r="J3" s="11" t="s">
        <v>22</v>
      </c>
      <c r="K3" s="11" t="s">
        <v>23</v>
      </c>
      <c r="L3" s="11" t="s">
        <v>24</v>
      </c>
      <c r="M3" s="11" t="s">
        <v>25</v>
      </c>
    </row>
    <row r="4" spans="1:13" ht="25.15" customHeight="1">
      <c r="A4" s="31" t="str">
        <f>IF(廠長!A4="","",廠長!A4)</f>
        <v>袁儒屏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 t="s">
        <v>5</v>
      </c>
      <c r="C10" s="13" t="s">
        <v>5</v>
      </c>
      <c r="D10" s="13" t="s">
        <v>5</v>
      </c>
      <c r="E10" s="13" t="s">
        <v>5</v>
      </c>
      <c r="F10" s="13" t="s">
        <v>5</v>
      </c>
      <c r="G10" s="13" t="s">
        <v>5</v>
      </c>
      <c r="H10" s="13" t="s">
        <v>5</v>
      </c>
      <c r="I10" s="13" t="s">
        <v>5</v>
      </c>
      <c r="J10" s="13" t="s">
        <v>5</v>
      </c>
      <c r="K10" s="13" t="s">
        <v>5</v>
      </c>
      <c r="L10" s="13" t="s">
        <v>5</v>
      </c>
      <c r="M10" s="13" t="s">
        <v>5</v>
      </c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mBGufzZQUyrSgC52TkjBw7bEDuzWzqIhHhL+HqjPA8t922SHArDFSJcCh7tDF+jiol+FkSI1433l9rGHOHkKsQ==" saltValue="S80Mh8LSQzQChxzn403dIA==" spinCount="100000" sheet="1" objects="1" scenarios="1"/>
  <protectedRanges>
    <protectedRange sqref="G1 B4:M9 B11:M32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1月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B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C+3x9VE0JhyMBC42K3+TpwfUQl0jRuHBlGbFDLnVhlm5gXs8SzPqUoqblpWdFUp1xOU7TS7hiH6vDmYLFjcjvA==" saltValue="X/XGv2lXCwLAfK2L7RF2eQ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2月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C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3月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D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J32"/>
  <sheetViews>
    <sheetView zoomScale="90" zoomScaleNormal="90" workbookViewId="0">
      <selection activeCell="F26" sqref="F2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4月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E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5月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F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J32"/>
  <sheetViews>
    <sheetView zoomScale="90" zoomScaleNormal="90" workbookViewId="0">
      <selection activeCell="D1" sqref="D1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6月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G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7月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H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8月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I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9月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J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>10月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K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>11月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L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J32"/>
  <sheetViews>
    <sheetView topLeftCell="A16" zoomScale="90" zoomScaleNormal="90" workbookViewId="0">
      <selection activeCell="C13" sqref="C13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>12月</v>
      </c>
      <c r="B1" s="3" t="s">
        <v>12</v>
      </c>
      <c r="C1" s="3" t="s">
        <v>2</v>
      </c>
      <c r="D1" s="3" t="s">
        <v>70</v>
      </c>
      <c r="E1" s="3" t="s">
        <v>71</v>
      </c>
      <c r="F1" s="3" t="s">
        <v>4</v>
      </c>
      <c r="G1" s="3" t="s">
        <v>69</v>
      </c>
      <c r="H1" s="3" t="s">
        <v>1</v>
      </c>
      <c r="I1" s="3" t="s">
        <v>6</v>
      </c>
      <c r="J1" s="25" t="str">
        <f ca="1">CHOOSE(MID($A$1,LEN($A$1)-2,2),"B","C","D","E","F","G","H","I","J","K","L","M")</f>
        <v>M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S54"/>
  <sheetViews>
    <sheetView zoomScale="70" zoomScaleNormal="70" workbookViewId="0">
      <selection activeCell="T25" sqref="T25"/>
    </sheetView>
  </sheetViews>
  <sheetFormatPr defaultColWidth="9.75" defaultRowHeight="25.15" customHeight="1"/>
  <cols>
    <col min="1" max="16384" width="9.75" style="2"/>
  </cols>
  <sheetData>
    <row r="1" spans="1:19" ht="25.15" customHeight="1">
      <c r="A1" s="3"/>
      <c r="B1" s="3" t="s">
        <v>26</v>
      </c>
      <c r="C1" s="3" t="s">
        <v>27</v>
      </c>
      <c r="D1" s="3" t="s">
        <v>28</v>
      </c>
      <c r="E1" s="3" t="s">
        <v>29</v>
      </c>
      <c r="F1" s="3" t="s">
        <v>30</v>
      </c>
      <c r="G1" s="3" t="s">
        <v>31</v>
      </c>
      <c r="H1" s="3" t="s">
        <v>32</v>
      </c>
      <c r="I1" s="4" t="s">
        <v>33</v>
      </c>
      <c r="J1" s="26" t="s">
        <v>34</v>
      </c>
      <c r="K1" s="3" t="s">
        <v>35</v>
      </c>
      <c r="L1" s="3" t="s">
        <v>36</v>
      </c>
      <c r="M1" s="3" t="s">
        <v>37</v>
      </c>
      <c r="N1" s="3" t="s">
        <v>38</v>
      </c>
      <c r="O1" s="3" t="s">
        <v>39</v>
      </c>
      <c r="P1" s="3" t="s">
        <v>40</v>
      </c>
      <c r="Q1" s="27" t="s">
        <v>41</v>
      </c>
      <c r="R1" s="8" t="s">
        <v>42</v>
      </c>
      <c r="S1" s="4" t="s">
        <v>43</v>
      </c>
    </row>
    <row r="2" spans="1:19" ht="25.15" customHeight="1">
      <c r="A2" s="31" t="str">
        <f>IF(廠長!A4="","",廠長!A4)</f>
        <v>袁儒屏</v>
      </c>
      <c r="B2" s="28">
        <f ca="1">INDIRECT(B$1&amp;"!I"&amp;(ROW()+1))</f>
        <v>0</v>
      </c>
      <c r="C2" s="28">
        <f t="shared" ref="C2:G17" ca="1" si="0">INDIRECT(C$1&amp;"!I"&amp;(ROW()+1))</f>
        <v>0</v>
      </c>
      <c r="D2" s="28">
        <f t="shared" ca="1" si="0"/>
        <v>0</v>
      </c>
      <c r="E2" s="28">
        <f t="shared" ca="1" si="0"/>
        <v>0</v>
      </c>
      <c r="F2" s="28">
        <f t="shared" ca="1" si="0"/>
        <v>0</v>
      </c>
      <c r="G2" s="28">
        <f t="shared" ca="1" si="0"/>
        <v>0</v>
      </c>
      <c r="H2" s="28">
        <f ca="1">SUM(B2:G2)</f>
        <v>0</v>
      </c>
      <c r="I2" s="4">
        <f ca="1">RANK(H2,$H$2:$H$30)</f>
        <v>1</v>
      </c>
      <c r="J2" s="29">
        <f ca="1">INDIRECT(J$1&amp;"!I"&amp;(ROW()+1))</f>
        <v>0</v>
      </c>
      <c r="K2" s="29">
        <f t="shared" ref="K2:O23" ca="1" si="1">INDIRECT(K$1&amp;"!I"&amp;(ROW()+1))</f>
        <v>0</v>
      </c>
      <c r="L2" s="29">
        <f t="shared" ca="1" si="1"/>
        <v>0</v>
      </c>
      <c r="M2" s="29">
        <f t="shared" ca="1" si="1"/>
        <v>0</v>
      </c>
      <c r="N2" s="29">
        <f t="shared" ca="1" si="1"/>
        <v>0</v>
      </c>
      <c r="O2" s="29">
        <f t="shared" ca="1" si="1"/>
        <v>0</v>
      </c>
      <c r="P2" s="28">
        <f ca="1">SUM(J2:O2)</f>
        <v>0</v>
      </c>
      <c r="Q2" s="27">
        <f ca="1">RANK(P2,$P$2:$P$30)</f>
        <v>1</v>
      </c>
      <c r="R2" s="8">
        <f ca="1">SUM(H2,P2)</f>
        <v>0</v>
      </c>
      <c r="S2" s="4">
        <f ca="1">RANK(R2,$R$2:$R$30)</f>
        <v>1</v>
      </c>
    </row>
    <row r="3" spans="1:19" ht="25.15" customHeight="1">
      <c r="A3" s="31" t="str">
        <f>IF(廠長!A5="","",廠長!A5)</f>
        <v>丁裕翔</v>
      </c>
      <c r="B3" s="28">
        <f t="shared" ref="B3:G18" ca="1" si="2">INDIRECT(B$1&amp;"!I"&amp;(ROW()+1))</f>
        <v>0</v>
      </c>
      <c r="C3" s="28">
        <f t="shared" ca="1" si="0"/>
        <v>0</v>
      </c>
      <c r="D3" s="28">
        <f t="shared" ca="1" si="0"/>
        <v>0</v>
      </c>
      <c r="E3" s="28">
        <f t="shared" ca="1" si="0"/>
        <v>0</v>
      </c>
      <c r="F3" s="28">
        <f t="shared" ca="1" si="0"/>
        <v>0</v>
      </c>
      <c r="G3" s="28">
        <f t="shared" ca="1" si="0"/>
        <v>0</v>
      </c>
      <c r="H3" s="28">
        <f t="shared" ref="H3:H30" ca="1" si="3">SUM(B3:G3)</f>
        <v>0</v>
      </c>
      <c r="I3" s="4">
        <f t="shared" ref="I3:I30" ca="1" si="4">RANK(H3,$H$2:$H$30)</f>
        <v>1</v>
      </c>
      <c r="J3" s="29">
        <f t="shared" ref="J3:J18" ca="1" si="5">INDIRECT(J$1&amp;"!I"&amp;(ROW()+1))</f>
        <v>0</v>
      </c>
      <c r="K3" s="29">
        <f t="shared" ca="1" si="1"/>
        <v>0</v>
      </c>
      <c r="L3" s="29">
        <f t="shared" ca="1" si="1"/>
        <v>0</v>
      </c>
      <c r="M3" s="29">
        <f t="shared" ca="1" si="1"/>
        <v>0</v>
      </c>
      <c r="N3" s="29">
        <f t="shared" ca="1" si="1"/>
        <v>0</v>
      </c>
      <c r="O3" s="29">
        <f t="shared" ca="1" si="1"/>
        <v>0</v>
      </c>
      <c r="P3" s="28">
        <f t="shared" ref="P3:P15" ca="1" si="6">SUM(J3:O3)</f>
        <v>0</v>
      </c>
      <c r="Q3" s="27">
        <f t="shared" ref="Q3:Q30" ca="1" si="7">RANK(P3,$P$2:$P$30)</f>
        <v>1</v>
      </c>
      <c r="R3" s="8">
        <f t="shared" ref="R3:R30" ca="1" si="8">SUM(H3,P3)</f>
        <v>0</v>
      </c>
      <c r="S3" s="4">
        <f t="shared" ref="S3:S30" ca="1" si="9">RANK(R3,$R$2:$R$30)</f>
        <v>1</v>
      </c>
    </row>
    <row r="4" spans="1:19" ht="25.15" customHeight="1">
      <c r="A4" s="31" t="str">
        <f>IF(廠長!A6="","",廠長!A6)</f>
        <v>黃姿春</v>
      </c>
      <c r="B4" s="28">
        <f t="shared" ca="1" si="2"/>
        <v>0</v>
      </c>
      <c r="C4" s="28">
        <f t="shared" ca="1" si="0"/>
        <v>0</v>
      </c>
      <c r="D4" s="28">
        <f t="shared" ca="1" si="0"/>
        <v>0</v>
      </c>
      <c r="E4" s="28">
        <f t="shared" ca="1" si="0"/>
        <v>0</v>
      </c>
      <c r="F4" s="28">
        <f t="shared" ca="1" si="0"/>
        <v>0</v>
      </c>
      <c r="G4" s="28">
        <f t="shared" ca="1" si="0"/>
        <v>0</v>
      </c>
      <c r="H4" s="28">
        <f t="shared" ca="1" si="3"/>
        <v>0</v>
      </c>
      <c r="I4" s="4">
        <f t="shared" ca="1" si="4"/>
        <v>1</v>
      </c>
      <c r="J4" s="29">
        <f t="shared" ca="1" si="5"/>
        <v>0</v>
      </c>
      <c r="K4" s="29">
        <f t="shared" ca="1" si="1"/>
        <v>0</v>
      </c>
      <c r="L4" s="29">
        <f t="shared" ca="1" si="1"/>
        <v>0</v>
      </c>
      <c r="M4" s="29">
        <f t="shared" ca="1" si="1"/>
        <v>0</v>
      </c>
      <c r="N4" s="29">
        <f t="shared" ca="1" si="1"/>
        <v>0</v>
      </c>
      <c r="O4" s="29">
        <f t="shared" ca="1" si="1"/>
        <v>0</v>
      </c>
      <c r="P4" s="28">
        <f t="shared" ca="1" si="6"/>
        <v>0</v>
      </c>
      <c r="Q4" s="27">
        <f t="shared" ca="1" si="7"/>
        <v>1</v>
      </c>
      <c r="R4" s="8">
        <f t="shared" ca="1" si="8"/>
        <v>0</v>
      </c>
      <c r="S4" s="4">
        <f t="shared" ca="1" si="9"/>
        <v>1</v>
      </c>
    </row>
    <row r="5" spans="1:19" ht="25.15" customHeight="1">
      <c r="A5" s="31" t="str">
        <f>IF(廠長!A7="","",廠長!A7)</f>
        <v>洪恒雲</v>
      </c>
      <c r="B5" s="28">
        <f t="shared" ca="1" si="2"/>
        <v>0</v>
      </c>
      <c r="C5" s="28">
        <f t="shared" ca="1" si="0"/>
        <v>0</v>
      </c>
      <c r="D5" s="28">
        <f t="shared" ca="1" si="0"/>
        <v>0</v>
      </c>
      <c r="E5" s="28">
        <f t="shared" ca="1" si="0"/>
        <v>0</v>
      </c>
      <c r="F5" s="28">
        <f t="shared" ca="1" si="0"/>
        <v>0</v>
      </c>
      <c r="G5" s="28">
        <f t="shared" ca="1" si="0"/>
        <v>0</v>
      </c>
      <c r="H5" s="28">
        <f t="shared" ca="1" si="3"/>
        <v>0</v>
      </c>
      <c r="I5" s="4">
        <f t="shared" ca="1" si="4"/>
        <v>1</v>
      </c>
      <c r="J5" s="29">
        <f t="shared" ca="1" si="5"/>
        <v>0</v>
      </c>
      <c r="K5" s="29">
        <f t="shared" ca="1" si="1"/>
        <v>0</v>
      </c>
      <c r="L5" s="29">
        <f t="shared" ca="1" si="1"/>
        <v>0</v>
      </c>
      <c r="M5" s="29">
        <f t="shared" ca="1" si="1"/>
        <v>0</v>
      </c>
      <c r="N5" s="29">
        <f t="shared" ca="1" si="1"/>
        <v>0</v>
      </c>
      <c r="O5" s="29">
        <f t="shared" ca="1" si="1"/>
        <v>0</v>
      </c>
      <c r="P5" s="28">
        <f t="shared" ca="1" si="6"/>
        <v>0</v>
      </c>
      <c r="Q5" s="27">
        <f t="shared" ca="1" si="7"/>
        <v>1</v>
      </c>
      <c r="R5" s="8">
        <f t="shared" ca="1" si="8"/>
        <v>0</v>
      </c>
      <c r="S5" s="4">
        <f t="shared" ca="1" si="9"/>
        <v>1</v>
      </c>
    </row>
    <row r="6" spans="1:19" ht="25.15" customHeight="1">
      <c r="A6" s="31" t="str">
        <f>IF(廠長!A8="","",廠長!A8)</f>
        <v>張雅婷</v>
      </c>
      <c r="B6" s="28">
        <f t="shared" ca="1" si="2"/>
        <v>0</v>
      </c>
      <c r="C6" s="28">
        <f t="shared" ca="1" si="0"/>
        <v>0</v>
      </c>
      <c r="D6" s="28">
        <f t="shared" ca="1" si="0"/>
        <v>0</v>
      </c>
      <c r="E6" s="28">
        <f t="shared" ca="1" si="0"/>
        <v>0</v>
      </c>
      <c r="F6" s="28">
        <f t="shared" ca="1" si="0"/>
        <v>0</v>
      </c>
      <c r="G6" s="28">
        <f t="shared" ca="1" si="0"/>
        <v>0</v>
      </c>
      <c r="H6" s="28">
        <f t="shared" ca="1" si="3"/>
        <v>0</v>
      </c>
      <c r="I6" s="4">
        <f t="shared" ca="1" si="4"/>
        <v>1</v>
      </c>
      <c r="J6" s="29">
        <f t="shared" ca="1" si="5"/>
        <v>0</v>
      </c>
      <c r="K6" s="29">
        <f t="shared" ca="1" si="1"/>
        <v>0</v>
      </c>
      <c r="L6" s="29">
        <f t="shared" ca="1" si="1"/>
        <v>0</v>
      </c>
      <c r="M6" s="29">
        <f t="shared" ca="1" si="1"/>
        <v>0</v>
      </c>
      <c r="N6" s="29">
        <f t="shared" ca="1" si="1"/>
        <v>0</v>
      </c>
      <c r="O6" s="29">
        <f t="shared" ca="1" si="1"/>
        <v>0</v>
      </c>
      <c r="P6" s="28">
        <f t="shared" ca="1" si="6"/>
        <v>0</v>
      </c>
      <c r="Q6" s="27">
        <f t="shared" ca="1" si="7"/>
        <v>1</v>
      </c>
      <c r="R6" s="8">
        <f t="shared" ca="1" si="8"/>
        <v>0</v>
      </c>
      <c r="S6" s="4">
        <f t="shared" ca="1" si="9"/>
        <v>1</v>
      </c>
    </row>
    <row r="7" spans="1:19" ht="25.15" customHeight="1">
      <c r="A7" s="31" t="str">
        <f>IF(廠長!A9="","",廠長!A9)</f>
        <v>霍禹帆</v>
      </c>
      <c r="B7" s="28">
        <f t="shared" ca="1" si="2"/>
        <v>0</v>
      </c>
      <c r="C7" s="28">
        <f t="shared" ca="1" si="0"/>
        <v>0</v>
      </c>
      <c r="D7" s="28">
        <f t="shared" ca="1" si="0"/>
        <v>0</v>
      </c>
      <c r="E7" s="28">
        <f t="shared" ca="1" si="0"/>
        <v>0</v>
      </c>
      <c r="F7" s="28">
        <f t="shared" ca="1" si="0"/>
        <v>0</v>
      </c>
      <c r="G7" s="28">
        <f t="shared" ca="1" si="0"/>
        <v>0</v>
      </c>
      <c r="H7" s="28">
        <f t="shared" ca="1" si="3"/>
        <v>0</v>
      </c>
      <c r="I7" s="4">
        <f t="shared" ca="1" si="4"/>
        <v>1</v>
      </c>
      <c r="J7" s="29">
        <f t="shared" ca="1" si="5"/>
        <v>0</v>
      </c>
      <c r="K7" s="29">
        <f t="shared" ca="1" si="1"/>
        <v>0</v>
      </c>
      <c r="L7" s="29">
        <f t="shared" ca="1" si="1"/>
        <v>0</v>
      </c>
      <c r="M7" s="29">
        <f t="shared" ca="1" si="1"/>
        <v>0</v>
      </c>
      <c r="N7" s="29">
        <f t="shared" ca="1" si="1"/>
        <v>0</v>
      </c>
      <c r="O7" s="29">
        <f t="shared" ca="1" si="1"/>
        <v>0</v>
      </c>
      <c r="P7" s="28">
        <f t="shared" ca="1" si="6"/>
        <v>0</v>
      </c>
      <c r="Q7" s="27">
        <f t="shared" ca="1" si="7"/>
        <v>1</v>
      </c>
      <c r="R7" s="8">
        <f t="shared" ca="1" si="8"/>
        <v>0</v>
      </c>
      <c r="S7" s="4">
        <f t="shared" ca="1" si="9"/>
        <v>1</v>
      </c>
    </row>
    <row r="8" spans="1:19" ht="25.15" customHeight="1">
      <c r="A8" s="31" t="str">
        <f>IF(廠長!A10="","",廠長!A10)</f>
        <v>欒美玲</v>
      </c>
      <c r="B8" s="28">
        <f t="shared" ca="1" si="2"/>
        <v>0</v>
      </c>
      <c r="C8" s="28">
        <f t="shared" ca="1" si="0"/>
        <v>0</v>
      </c>
      <c r="D8" s="28">
        <f t="shared" ca="1" si="0"/>
        <v>0</v>
      </c>
      <c r="E8" s="28">
        <f t="shared" ca="1" si="0"/>
        <v>0</v>
      </c>
      <c r="F8" s="28">
        <f t="shared" ca="1" si="0"/>
        <v>0</v>
      </c>
      <c r="G8" s="28">
        <f t="shared" ca="1" si="0"/>
        <v>0</v>
      </c>
      <c r="H8" s="28">
        <f t="shared" ca="1" si="3"/>
        <v>0</v>
      </c>
      <c r="I8" s="4">
        <f t="shared" ca="1" si="4"/>
        <v>1</v>
      </c>
      <c r="J8" s="29">
        <f t="shared" ca="1" si="5"/>
        <v>0</v>
      </c>
      <c r="K8" s="29">
        <f t="shared" ca="1" si="1"/>
        <v>0</v>
      </c>
      <c r="L8" s="29">
        <f t="shared" ca="1" si="1"/>
        <v>0</v>
      </c>
      <c r="M8" s="29">
        <f t="shared" ca="1" si="1"/>
        <v>0</v>
      </c>
      <c r="N8" s="29">
        <f t="shared" ca="1" si="1"/>
        <v>0</v>
      </c>
      <c r="O8" s="29">
        <f t="shared" ca="1" si="1"/>
        <v>0</v>
      </c>
      <c r="P8" s="28">
        <f t="shared" ca="1" si="6"/>
        <v>0</v>
      </c>
      <c r="Q8" s="27">
        <f t="shared" ca="1" si="7"/>
        <v>1</v>
      </c>
      <c r="R8" s="8">
        <f t="shared" ca="1" si="8"/>
        <v>0</v>
      </c>
      <c r="S8" s="4">
        <f t="shared" ca="1" si="9"/>
        <v>1</v>
      </c>
    </row>
    <row r="9" spans="1:19" ht="25.15" customHeight="1">
      <c r="A9" s="31" t="str">
        <f>IF(廠長!A11="","",廠長!A11)</f>
        <v>許允純</v>
      </c>
      <c r="B9" s="28">
        <f t="shared" ca="1" si="2"/>
        <v>0</v>
      </c>
      <c r="C9" s="28">
        <f t="shared" ca="1" si="0"/>
        <v>0</v>
      </c>
      <c r="D9" s="28">
        <f t="shared" ca="1" si="0"/>
        <v>0</v>
      </c>
      <c r="E9" s="28">
        <f t="shared" ca="1" si="0"/>
        <v>0</v>
      </c>
      <c r="F9" s="28">
        <f t="shared" ca="1" si="0"/>
        <v>0</v>
      </c>
      <c r="G9" s="28">
        <f t="shared" ca="1" si="0"/>
        <v>0</v>
      </c>
      <c r="H9" s="28">
        <f t="shared" ca="1" si="3"/>
        <v>0</v>
      </c>
      <c r="I9" s="4">
        <f t="shared" ca="1" si="4"/>
        <v>1</v>
      </c>
      <c r="J9" s="29">
        <f t="shared" ca="1" si="5"/>
        <v>0</v>
      </c>
      <c r="K9" s="29">
        <f t="shared" ca="1" si="1"/>
        <v>0</v>
      </c>
      <c r="L9" s="29">
        <f t="shared" ca="1" si="1"/>
        <v>0</v>
      </c>
      <c r="M9" s="29">
        <f t="shared" ca="1" si="1"/>
        <v>0</v>
      </c>
      <c r="N9" s="29">
        <f t="shared" ca="1" si="1"/>
        <v>0</v>
      </c>
      <c r="O9" s="29">
        <f t="shared" ca="1" si="1"/>
        <v>0</v>
      </c>
      <c r="P9" s="28">
        <f t="shared" ca="1" si="6"/>
        <v>0</v>
      </c>
      <c r="Q9" s="27">
        <f t="shared" ca="1" si="7"/>
        <v>1</v>
      </c>
      <c r="R9" s="8">
        <f t="shared" ca="1" si="8"/>
        <v>0</v>
      </c>
      <c r="S9" s="4">
        <f t="shared" ca="1" si="9"/>
        <v>1</v>
      </c>
    </row>
    <row r="10" spans="1:19" ht="25.15" customHeight="1">
      <c r="A10" s="31" t="str">
        <f>IF(廠長!A12="","",廠長!A12)</f>
        <v>林國容</v>
      </c>
      <c r="B10" s="28">
        <f t="shared" ca="1" si="2"/>
        <v>0</v>
      </c>
      <c r="C10" s="28">
        <f t="shared" ca="1" si="0"/>
        <v>0</v>
      </c>
      <c r="D10" s="28">
        <f t="shared" ca="1" si="0"/>
        <v>0</v>
      </c>
      <c r="E10" s="28">
        <f t="shared" ca="1" si="0"/>
        <v>0</v>
      </c>
      <c r="F10" s="28">
        <f t="shared" ca="1" si="0"/>
        <v>0</v>
      </c>
      <c r="G10" s="28">
        <f t="shared" ca="1" si="0"/>
        <v>0</v>
      </c>
      <c r="H10" s="28">
        <f t="shared" ca="1" si="3"/>
        <v>0</v>
      </c>
      <c r="I10" s="4">
        <f t="shared" ca="1" si="4"/>
        <v>1</v>
      </c>
      <c r="J10" s="29">
        <f t="shared" ca="1" si="5"/>
        <v>0</v>
      </c>
      <c r="K10" s="29">
        <f t="shared" ca="1" si="1"/>
        <v>0</v>
      </c>
      <c r="L10" s="29">
        <f t="shared" ca="1" si="1"/>
        <v>0</v>
      </c>
      <c r="M10" s="29">
        <f t="shared" ca="1" si="1"/>
        <v>0</v>
      </c>
      <c r="N10" s="29">
        <f t="shared" ca="1" si="1"/>
        <v>0</v>
      </c>
      <c r="O10" s="29">
        <f t="shared" ca="1" si="1"/>
        <v>0</v>
      </c>
      <c r="P10" s="28">
        <f t="shared" ca="1" si="6"/>
        <v>0</v>
      </c>
      <c r="Q10" s="27">
        <f t="shared" ca="1" si="7"/>
        <v>1</v>
      </c>
      <c r="R10" s="8">
        <f t="shared" ca="1" si="8"/>
        <v>0</v>
      </c>
      <c r="S10" s="4">
        <f t="shared" ca="1" si="9"/>
        <v>1</v>
      </c>
    </row>
    <row r="11" spans="1:19" ht="25.15" customHeight="1">
      <c r="A11" s="31" t="str">
        <f>IF(廠長!A13="","",廠長!A13)</f>
        <v>陳雲喬</v>
      </c>
      <c r="B11" s="28">
        <f t="shared" ca="1" si="2"/>
        <v>0</v>
      </c>
      <c r="C11" s="28">
        <f t="shared" ca="1" si="0"/>
        <v>0</v>
      </c>
      <c r="D11" s="28">
        <f t="shared" ca="1" si="0"/>
        <v>0</v>
      </c>
      <c r="E11" s="28">
        <f t="shared" ca="1" si="0"/>
        <v>0</v>
      </c>
      <c r="F11" s="28">
        <f t="shared" ca="1" si="0"/>
        <v>0</v>
      </c>
      <c r="G11" s="28">
        <f t="shared" ca="1" si="0"/>
        <v>0</v>
      </c>
      <c r="H11" s="28">
        <f t="shared" ca="1" si="3"/>
        <v>0</v>
      </c>
      <c r="I11" s="4">
        <f t="shared" ca="1" si="4"/>
        <v>1</v>
      </c>
      <c r="J11" s="29">
        <f t="shared" ca="1" si="5"/>
        <v>0</v>
      </c>
      <c r="K11" s="29">
        <f t="shared" ca="1" si="1"/>
        <v>0</v>
      </c>
      <c r="L11" s="29">
        <f t="shared" ca="1" si="1"/>
        <v>0</v>
      </c>
      <c r="M11" s="29">
        <f t="shared" ca="1" si="1"/>
        <v>0</v>
      </c>
      <c r="N11" s="29">
        <f t="shared" ca="1" si="1"/>
        <v>0</v>
      </c>
      <c r="O11" s="29">
        <f t="shared" ca="1" si="1"/>
        <v>0</v>
      </c>
      <c r="P11" s="28">
        <f t="shared" ca="1" si="6"/>
        <v>0</v>
      </c>
      <c r="Q11" s="27">
        <f t="shared" ca="1" si="7"/>
        <v>1</v>
      </c>
      <c r="R11" s="8">
        <f t="shared" ca="1" si="8"/>
        <v>0</v>
      </c>
      <c r="S11" s="4">
        <f t="shared" ca="1" si="9"/>
        <v>1</v>
      </c>
    </row>
    <row r="12" spans="1:19" ht="25.15" customHeight="1">
      <c r="A12" s="31" t="str">
        <f>IF(廠長!A14="","",廠長!A14)</f>
        <v>李念翰</v>
      </c>
      <c r="B12" s="28">
        <f t="shared" ca="1" si="2"/>
        <v>0</v>
      </c>
      <c r="C12" s="28">
        <f t="shared" ca="1" si="0"/>
        <v>0</v>
      </c>
      <c r="D12" s="28">
        <f t="shared" ca="1" si="0"/>
        <v>0</v>
      </c>
      <c r="E12" s="28">
        <f t="shared" ca="1" si="0"/>
        <v>0</v>
      </c>
      <c r="F12" s="28">
        <f t="shared" ca="1" si="0"/>
        <v>0</v>
      </c>
      <c r="G12" s="28">
        <f t="shared" ca="1" si="0"/>
        <v>0</v>
      </c>
      <c r="H12" s="28">
        <f t="shared" ca="1" si="3"/>
        <v>0</v>
      </c>
      <c r="I12" s="4">
        <f t="shared" ca="1" si="4"/>
        <v>1</v>
      </c>
      <c r="J12" s="29">
        <f t="shared" ca="1" si="5"/>
        <v>0</v>
      </c>
      <c r="K12" s="29">
        <f t="shared" ca="1" si="1"/>
        <v>0</v>
      </c>
      <c r="L12" s="29">
        <f t="shared" ca="1" si="1"/>
        <v>0</v>
      </c>
      <c r="M12" s="29">
        <f t="shared" ca="1" si="1"/>
        <v>0</v>
      </c>
      <c r="N12" s="29">
        <f t="shared" ca="1" si="1"/>
        <v>0</v>
      </c>
      <c r="O12" s="29">
        <f t="shared" ca="1" si="1"/>
        <v>0</v>
      </c>
      <c r="P12" s="28">
        <f t="shared" ca="1" si="6"/>
        <v>0</v>
      </c>
      <c r="Q12" s="27">
        <f t="shared" ca="1" si="7"/>
        <v>1</v>
      </c>
      <c r="R12" s="8">
        <f t="shared" ca="1" si="8"/>
        <v>0</v>
      </c>
      <c r="S12" s="4">
        <f t="shared" ca="1" si="9"/>
        <v>1</v>
      </c>
    </row>
    <row r="13" spans="1:19" ht="25.15" customHeight="1">
      <c r="A13" s="31" t="str">
        <f>IF(廠長!A15="","",廠長!A15)</f>
        <v>王夢瑋</v>
      </c>
      <c r="B13" s="28">
        <f t="shared" ca="1" si="2"/>
        <v>0</v>
      </c>
      <c r="C13" s="28">
        <f t="shared" ca="1" si="0"/>
        <v>0</v>
      </c>
      <c r="D13" s="28">
        <f t="shared" ca="1" si="0"/>
        <v>0</v>
      </c>
      <c r="E13" s="28">
        <f t="shared" ca="1" si="0"/>
        <v>0</v>
      </c>
      <c r="F13" s="28">
        <f t="shared" ca="1" si="0"/>
        <v>0</v>
      </c>
      <c r="G13" s="28">
        <f t="shared" ca="1" si="0"/>
        <v>0</v>
      </c>
      <c r="H13" s="28">
        <f t="shared" ca="1" si="3"/>
        <v>0</v>
      </c>
      <c r="I13" s="4">
        <f t="shared" ca="1" si="4"/>
        <v>1</v>
      </c>
      <c r="J13" s="29">
        <f t="shared" ca="1" si="5"/>
        <v>0</v>
      </c>
      <c r="K13" s="29">
        <f t="shared" ca="1" si="1"/>
        <v>0</v>
      </c>
      <c r="L13" s="29">
        <f t="shared" ca="1" si="1"/>
        <v>0</v>
      </c>
      <c r="M13" s="29">
        <f t="shared" ca="1" si="1"/>
        <v>0</v>
      </c>
      <c r="N13" s="29">
        <f t="shared" ca="1" si="1"/>
        <v>0</v>
      </c>
      <c r="O13" s="29">
        <f t="shared" ca="1" si="1"/>
        <v>0</v>
      </c>
      <c r="P13" s="28">
        <f t="shared" ca="1" si="6"/>
        <v>0</v>
      </c>
      <c r="Q13" s="27">
        <f t="shared" ca="1" si="7"/>
        <v>1</v>
      </c>
      <c r="R13" s="8">
        <f t="shared" ca="1" si="8"/>
        <v>0</v>
      </c>
      <c r="S13" s="4">
        <f t="shared" ca="1" si="9"/>
        <v>1</v>
      </c>
    </row>
    <row r="14" spans="1:19" ht="25.15" customHeight="1">
      <c r="A14" s="31" t="str">
        <f>IF(廠長!A16="","",廠長!A16)</f>
        <v>鄭中東</v>
      </c>
      <c r="B14" s="28">
        <f t="shared" ca="1" si="2"/>
        <v>0</v>
      </c>
      <c r="C14" s="28">
        <f t="shared" ca="1" si="0"/>
        <v>0</v>
      </c>
      <c r="D14" s="28">
        <f t="shared" ca="1" si="0"/>
        <v>0</v>
      </c>
      <c r="E14" s="28">
        <f t="shared" ca="1" si="0"/>
        <v>0</v>
      </c>
      <c r="F14" s="28">
        <f t="shared" ca="1" si="0"/>
        <v>0</v>
      </c>
      <c r="G14" s="28">
        <f t="shared" ca="1" si="0"/>
        <v>0</v>
      </c>
      <c r="H14" s="28">
        <f t="shared" ca="1" si="3"/>
        <v>0</v>
      </c>
      <c r="I14" s="4">
        <f t="shared" ca="1" si="4"/>
        <v>1</v>
      </c>
      <c r="J14" s="29">
        <f t="shared" ca="1" si="5"/>
        <v>0</v>
      </c>
      <c r="K14" s="29">
        <f t="shared" ca="1" si="1"/>
        <v>0</v>
      </c>
      <c r="L14" s="29">
        <f t="shared" ca="1" si="1"/>
        <v>0</v>
      </c>
      <c r="M14" s="29">
        <f t="shared" ca="1" si="1"/>
        <v>0</v>
      </c>
      <c r="N14" s="29">
        <f t="shared" ca="1" si="1"/>
        <v>0</v>
      </c>
      <c r="O14" s="29">
        <f t="shared" ca="1" si="1"/>
        <v>0</v>
      </c>
      <c r="P14" s="28">
        <f t="shared" ca="1" si="6"/>
        <v>0</v>
      </c>
      <c r="Q14" s="27">
        <f t="shared" ca="1" si="7"/>
        <v>1</v>
      </c>
      <c r="R14" s="8">
        <f t="shared" ca="1" si="8"/>
        <v>0</v>
      </c>
      <c r="S14" s="4">
        <f t="shared" ca="1" si="9"/>
        <v>1</v>
      </c>
    </row>
    <row r="15" spans="1:19" ht="25.15" customHeight="1">
      <c r="A15" s="31" t="str">
        <f>IF(廠長!A17="","",廠長!A17)</f>
        <v>蔣姿伶</v>
      </c>
      <c r="B15" s="28">
        <f t="shared" ca="1" si="2"/>
        <v>0</v>
      </c>
      <c r="C15" s="28">
        <f t="shared" ca="1" si="0"/>
        <v>0</v>
      </c>
      <c r="D15" s="28">
        <f t="shared" ca="1" si="0"/>
        <v>0</v>
      </c>
      <c r="E15" s="28">
        <f t="shared" ca="1" si="0"/>
        <v>0</v>
      </c>
      <c r="F15" s="28">
        <f t="shared" ca="1" si="0"/>
        <v>0</v>
      </c>
      <c r="G15" s="28">
        <f t="shared" ca="1" si="0"/>
        <v>0</v>
      </c>
      <c r="H15" s="28">
        <f t="shared" ca="1" si="3"/>
        <v>0</v>
      </c>
      <c r="I15" s="4">
        <f t="shared" ca="1" si="4"/>
        <v>1</v>
      </c>
      <c r="J15" s="29">
        <f t="shared" ca="1" si="5"/>
        <v>0</v>
      </c>
      <c r="K15" s="29">
        <f t="shared" ca="1" si="1"/>
        <v>0</v>
      </c>
      <c r="L15" s="29">
        <f t="shared" ca="1" si="1"/>
        <v>0</v>
      </c>
      <c r="M15" s="29">
        <f t="shared" ca="1" si="1"/>
        <v>0</v>
      </c>
      <c r="N15" s="29">
        <f t="shared" ca="1" si="1"/>
        <v>0</v>
      </c>
      <c r="O15" s="29">
        <f t="shared" ca="1" si="1"/>
        <v>0</v>
      </c>
      <c r="P15" s="28">
        <f t="shared" ca="1" si="6"/>
        <v>0</v>
      </c>
      <c r="Q15" s="27">
        <f t="shared" ca="1" si="7"/>
        <v>1</v>
      </c>
      <c r="R15" s="8">
        <f t="shared" ca="1" si="8"/>
        <v>0</v>
      </c>
      <c r="S15" s="4">
        <f t="shared" ca="1" si="9"/>
        <v>1</v>
      </c>
    </row>
    <row r="16" spans="1:19" ht="25.15" customHeight="1">
      <c r="A16" s="31" t="str">
        <f>IF(廠長!A18="","",廠長!A18)</f>
        <v>黃筱婷</v>
      </c>
      <c r="B16" s="28">
        <f t="shared" ca="1" si="2"/>
        <v>0</v>
      </c>
      <c r="C16" s="28">
        <f t="shared" ca="1" si="0"/>
        <v>0</v>
      </c>
      <c r="D16" s="28">
        <f t="shared" ca="1" si="0"/>
        <v>0</v>
      </c>
      <c r="E16" s="28">
        <f t="shared" ca="1" si="0"/>
        <v>0</v>
      </c>
      <c r="F16" s="28">
        <f t="shared" ca="1" si="0"/>
        <v>0</v>
      </c>
      <c r="G16" s="28">
        <f t="shared" ca="1" si="0"/>
        <v>0</v>
      </c>
      <c r="H16" s="28">
        <f t="shared" ca="1" si="3"/>
        <v>0</v>
      </c>
      <c r="I16" s="4">
        <f t="shared" ca="1" si="4"/>
        <v>1</v>
      </c>
      <c r="J16" s="29">
        <f t="shared" ca="1" si="5"/>
        <v>0</v>
      </c>
      <c r="K16" s="29">
        <f t="shared" ca="1" si="1"/>
        <v>0</v>
      </c>
      <c r="L16" s="29">
        <f t="shared" ca="1" si="1"/>
        <v>0</v>
      </c>
      <c r="M16" s="29">
        <f t="shared" ca="1" si="1"/>
        <v>0</v>
      </c>
      <c r="N16" s="29">
        <f t="shared" ca="1" si="1"/>
        <v>0</v>
      </c>
      <c r="O16" s="29">
        <f t="shared" ca="1" si="1"/>
        <v>0</v>
      </c>
      <c r="P16" s="28">
        <f t="shared" ref="P16:P30" ca="1" si="10">SUM(J16:O16)</f>
        <v>0</v>
      </c>
      <c r="Q16" s="27">
        <f t="shared" ca="1" si="7"/>
        <v>1</v>
      </c>
      <c r="R16" s="8">
        <f t="shared" ca="1" si="8"/>
        <v>0</v>
      </c>
      <c r="S16" s="4">
        <f t="shared" ca="1" si="9"/>
        <v>1</v>
      </c>
    </row>
    <row r="17" spans="1:19" ht="25.15" customHeight="1">
      <c r="A17" s="31" t="str">
        <f>IF(廠長!A19="","",廠長!A19)</f>
        <v>陳瑋蘋</v>
      </c>
      <c r="B17" s="28">
        <f t="shared" ca="1" si="2"/>
        <v>0</v>
      </c>
      <c r="C17" s="28">
        <f t="shared" ca="1" si="0"/>
        <v>0</v>
      </c>
      <c r="D17" s="28">
        <f t="shared" ca="1" si="0"/>
        <v>0</v>
      </c>
      <c r="E17" s="28">
        <f t="shared" ca="1" si="0"/>
        <v>0</v>
      </c>
      <c r="F17" s="28">
        <f t="shared" ca="1" si="0"/>
        <v>0</v>
      </c>
      <c r="G17" s="28">
        <f t="shared" ca="1" si="0"/>
        <v>0</v>
      </c>
      <c r="H17" s="28">
        <f t="shared" ca="1" si="3"/>
        <v>0</v>
      </c>
      <c r="I17" s="4">
        <f t="shared" ca="1" si="4"/>
        <v>1</v>
      </c>
      <c r="J17" s="29">
        <f t="shared" ca="1" si="5"/>
        <v>0</v>
      </c>
      <c r="K17" s="29">
        <f t="shared" ca="1" si="1"/>
        <v>0</v>
      </c>
      <c r="L17" s="29">
        <f t="shared" ca="1" si="1"/>
        <v>0</v>
      </c>
      <c r="M17" s="29">
        <f t="shared" ca="1" si="1"/>
        <v>0</v>
      </c>
      <c r="N17" s="29">
        <f t="shared" ca="1" si="1"/>
        <v>0</v>
      </c>
      <c r="O17" s="29">
        <f t="shared" ca="1" si="1"/>
        <v>0</v>
      </c>
      <c r="P17" s="28">
        <f t="shared" ca="1" si="10"/>
        <v>0</v>
      </c>
      <c r="Q17" s="27">
        <f t="shared" ca="1" si="7"/>
        <v>1</v>
      </c>
      <c r="R17" s="8">
        <f t="shared" ca="1" si="8"/>
        <v>0</v>
      </c>
      <c r="S17" s="4">
        <f t="shared" ca="1" si="9"/>
        <v>1</v>
      </c>
    </row>
    <row r="18" spans="1:19" ht="25.15" customHeight="1">
      <c r="A18" s="31" t="str">
        <f>IF(廠長!A20="","",廠長!A20)</f>
        <v>洪佑舜</v>
      </c>
      <c r="B18" s="28">
        <f t="shared" ca="1" si="2"/>
        <v>0</v>
      </c>
      <c r="C18" s="28">
        <f t="shared" ca="1" si="2"/>
        <v>0</v>
      </c>
      <c r="D18" s="28">
        <f t="shared" ca="1" si="2"/>
        <v>0</v>
      </c>
      <c r="E18" s="28">
        <f t="shared" ca="1" si="2"/>
        <v>0</v>
      </c>
      <c r="F18" s="28">
        <f t="shared" ca="1" si="2"/>
        <v>0</v>
      </c>
      <c r="G18" s="28">
        <f t="shared" ca="1" si="2"/>
        <v>0</v>
      </c>
      <c r="H18" s="28">
        <f t="shared" ca="1" si="3"/>
        <v>0</v>
      </c>
      <c r="I18" s="4">
        <f t="shared" ca="1" si="4"/>
        <v>1</v>
      </c>
      <c r="J18" s="29">
        <f t="shared" ca="1" si="5"/>
        <v>0</v>
      </c>
      <c r="K18" s="29">
        <f t="shared" ca="1" si="1"/>
        <v>0</v>
      </c>
      <c r="L18" s="29">
        <f t="shared" ca="1" si="1"/>
        <v>0</v>
      </c>
      <c r="M18" s="29">
        <f t="shared" ca="1" si="1"/>
        <v>0</v>
      </c>
      <c r="N18" s="29">
        <f t="shared" ca="1" si="1"/>
        <v>0</v>
      </c>
      <c r="O18" s="29">
        <f t="shared" ca="1" si="1"/>
        <v>0</v>
      </c>
      <c r="P18" s="28">
        <f t="shared" ca="1" si="10"/>
        <v>0</v>
      </c>
      <c r="Q18" s="27">
        <f t="shared" ca="1" si="7"/>
        <v>1</v>
      </c>
      <c r="R18" s="8">
        <f t="shared" ca="1" si="8"/>
        <v>0</v>
      </c>
      <c r="S18" s="4">
        <f t="shared" ca="1" si="9"/>
        <v>1</v>
      </c>
    </row>
    <row r="19" spans="1:19" ht="25.15" customHeight="1">
      <c r="A19" s="31" t="str">
        <f>IF(廠長!A21="","",廠長!A21)</f>
        <v>羅苑云</v>
      </c>
      <c r="B19" s="28">
        <f t="shared" ref="B19:G30" ca="1" si="11">INDIRECT(B$1&amp;"!I"&amp;(ROW()+1))</f>
        <v>0</v>
      </c>
      <c r="C19" s="28">
        <f t="shared" ca="1" si="11"/>
        <v>0</v>
      </c>
      <c r="D19" s="28">
        <f t="shared" ca="1" si="11"/>
        <v>0</v>
      </c>
      <c r="E19" s="28">
        <f t="shared" ca="1" si="11"/>
        <v>0</v>
      </c>
      <c r="F19" s="28">
        <f t="shared" ca="1" si="11"/>
        <v>0</v>
      </c>
      <c r="G19" s="28">
        <f t="shared" ca="1" si="11"/>
        <v>0</v>
      </c>
      <c r="H19" s="28">
        <f t="shared" ca="1" si="3"/>
        <v>0</v>
      </c>
      <c r="I19" s="4">
        <f t="shared" ca="1" si="4"/>
        <v>1</v>
      </c>
      <c r="J19" s="29">
        <f t="shared" ref="J19:O30" ca="1" si="12">INDIRECT(J$1&amp;"!I"&amp;(ROW()+1))</f>
        <v>0</v>
      </c>
      <c r="K19" s="29">
        <f t="shared" ca="1" si="1"/>
        <v>0</v>
      </c>
      <c r="L19" s="29">
        <f t="shared" ca="1" si="1"/>
        <v>0</v>
      </c>
      <c r="M19" s="29">
        <f t="shared" ca="1" si="1"/>
        <v>0</v>
      </c>
      <c r="N19" s="29">
        <f t="shared" ca="1" si="1"/>
        <v>0</v>
      </c>
      <c r="O19" s="29">
        <f t="shared" ca="1" si="1"/>
        <v>0</v>
      </c>
      <c r="P19" s="28">
        <f t="shared" ca="1" si="10"/>
        <v>0</v>
      </c>
      <c r="Q19" s="27">
        <f t="shared" ca="1" si="7"/>
        <v>1</v>
      </c>
      <c r="R19" s="8">
        <f t="shared" ca="1" si="8"/>
        <v>0</v>
      </c>
      <c r="S19" s="4">
        <f t="shared" ca="1" si="9"/>
        <v>1</v>
      </c>
    </row>
    <row r="20" spans="1:19" ht="25.15" customHeight="1">
      <c r="A20" s="31" t="str">
        <f>IF(廠長!A22="","",廠長!A22)</f>
        <v>倪香屏</v>
      </c>
      <c r="B20" s="28">
        <f t="shared" ca="1" si="11"/>
        <v>0</v>
      </c>
      <c r="C20" s="28">
        <f t="shared" ca="1" si="11"/>
        <v>0</v>
      </c>
      <c r="D20" s="28">
        <f t="shared" ca="1" si="11"/>
        <v>0</v>
      </c>
      <c r="E20" s="28">
        <f t="shared" ca="1" si="11"/>
        <v>0</v>
      </c>
      <c r="F20" s="28">
        <f t="shared" ca="1" si="11"/>
        <v>0</v>
      </c>
      <c r="G20" s="28">
        <f t="shared" ca="1" si="11"/>
        <v>0</v>
      </c>
      <c r="H20" s="28">
        <f t="shared" ca="1" si="3"/>
        <v>0</v>
      </c>
      <c r="I20" s="4">
        <f t="shared" ca="1" si="4"/>
        <v>1</v>
      </c>
      <c r="J20" s="29">
        <f t="shared" ca="1" si="12"/>
        <v>0</v>
      </c>
      <c r="K20" s="29">
        <f t="shared" ca="1" si="1"/>
        <v>0</v>
      </c>
      <c r="L20" s="29">
        <f t="shared" ca="1" si="1"/>
        <v>0</v>
      </c>
      <c r="M20" s="29">
        <f t="shared" ca="1" si="1"/>
        <v>0</v>
      </c>
      <c r="N20" s="29">
        <f t="shared" ca="1" si="1"/>
        <v>0</v>
      </c>
      <c r="O20" s="29">
        <f t="shared" ca="1" si="1"/>
        <v>0</v>
      </c>
      <c r="P20" s="28">
        <f t="shared" ca="1" si="10"/>
        <v>0</v>
      </c>
      <c r="Q20" s="27">
        <f t="shared" ca="1" si="7"/>
        <v>1</v>
      </c>
      <c r="R20" s="8">
        <f t="shared" ca="1" si="8"/>
        <v>0</v>
      </c>
      <c r="S20" s="4">
        <f t="shared" ca="1" si="9"/>
        <v>1</v>
      </c>
    </row>
    <row r="21" spans="1:19" ht="25.15" customHeight="1">
      <c r="A21" s="31" t="str">
        <f>IF(廠長!A23="","",廠長!A23)</f>
        <v>潘俞幸</v>
      </c>
      <c r="B21" s="28">
        <f t="shared" ca="1" si="11"/>
        <v>0</v>
      </c>
      <c r="C21" s="28">
        <f t="shared" ca="1" si="11"/>
        <v>0</v>
      </c>
      <c r="D21" s="28">
        <f t="shared" ca="1" si="11"/>
        <v>0</v>
      </c>
      <c r="E21" s="28">
        <f t="shared" ca="1" si="11"/>
        <v>0</v>
      </c>
      <c r="F21" s="28">
        <f t="shared" ca="1" si="11"/>
        <v>0</v>
      </c>
      <c r="G21" s="28">
        <f t="shared" ca="1" si="11"/>
        <v>0</v>
      </c>
      <c r="H21" s="28">
        <f t="shared" ca="1" si="3"/>
        <v>0</v>
      </c>
      <c r="I21" s="4">
        <f t="shared" ca="1" si="4"/>
        <v>1</v>
      </c>
      <c r="J21" s="29">
        <f t="shared" ca="1" si="12"/>
        <v>0</v>
      </c>
      <c r="K21" s="29">
        <f t="shared" ca="1" si="1"/>
        <v>0</v>
      </c>
      <c r="L21" s="29">
        <f t="shared" ca="1" si="1"/>
        <v>0</v>
      </c>
      <c r="M21" s="29">
        <f t="shared" ca="1" si="1"/>
        <v>0</v>
      </c>
      <c r="N21" s="29">
        <f t="shared" ca="1" si="1"/>
        <v>0</v>
      </c>
      <c r="O21" s="29">
        <f t="shared" ca="1" si="1"/>
        <v>0</v>
      </c>
      <c r="P21" s="28">
        <f t="shared" ca="1" si="10"/>
        <v>0</v>
      </c>
      <c r="Q21" s="27">
        <f t="shared" ca="1" si="7"/>
        <v>1</v>
      </c>
      <c r="R21" s="8">
        <f t="shared" ca="1" si="8"/>
        <v>0</v>
      </c>
      <c r="S21" s="4">
        <f t="shared" ca="1" si="9"/>
        <v>1</v>
      </c>
    </row>
    <row r="22" spans="1:19" ht="25.15" customHeight="1">
      <c r="A22" s="31" t="str">
        <f>IF(廠長!A24="","",廠長!A24)</f>
        <v>黃秉樂</v>
      </c>
      <c r="B22" s="28">
        <f t="shared" ca="1" si="11"/>
        <v>0</v>
      </c>
      <c r="C22" s="28">
        <f t="shared" ca="1" si="11"/>
        <v>0</v>
      </c>
      <c r="D22" s="28">
        <f t="shared" ca="1" si="11"/>
        <v>0</v>
      </c>
      <c r="E22" s="28">
        <f t="shared" ca="1" si="11"/>
        <v>0</v>
      </c>
      <c r="F22" s="28">
        <f t="shared" ca="1" si="11"/>
        <v>0</v>
      </c>
      <c r="G22" s="28">
        <f t="shared" ca="1" si="11"/>
        <v>0</v>
      </c>
      <c r="H22" s="28">
        <f t="shared" ca="1" si="3"/>
        <v>0</v>
      </c>
      <c r="I22" s="4">
        <f t="shared" ca="1" si="4"/>
        <v>1</v>
      </c>
      <c r="J22" s="29">
        <f t="shared" ca="1" si="12"/>
        <v>0</v>
      </c>
      <c r="K22" s="29">
        <f t="shared" ca="1" si="1"/>
        <v>0</v>
      </c>
      <c r="L22" s="29">
        <f t="shared" ca="1" si="1"/>
        <v>0</v>
      </c>
      <c r="M22" s="29">
        <f t="shared" ca="1" si="1"/>
        <v>0</v>
      </c>
      <c r="N22" s="29">
        <f t="shared" ca="1" si="1"/>
        <v>0</v>
      </c>
      <c r="O22" s="29">
        <f t="shared" ca="1" si="1"/>
        <v>0</v>
      </c>
      <c r="P22" s="28">
        <f t="shared" ca="1" si="10"/>
        <v>0</v>
      </c>
      <c r="Q22" s="27">
        <f t="shared" ca="1" si="7"/>
        <v>1</v>
      </c>
      <c r="R22" s="8">
        <f t="shared" ca="1" si="8"/>
        <v>0</v>
      </c>
      <c r="S22" s="4">
        <f t="shared" ca="1" si="9"/>
        <v>1</v>
      </c>
    </row>
    <row r="23" spans="1:19" ht="25.15" customHeight="1">
      <c r="A23" s="31" t="str">
        <f>IF(廠長!A25="","",廠長!A25)</f>
        <v>曾竹玟</v>
      </c>
      <c r="B23" s="28">
        <f t="shared" ca="1" si="11"/>
        <v>0</v>
      </c>
      <c r="C23" s="28">
        <f t="shared" ca="1" si="11"/>
        <v>0</v>
      </c>
      <c r="D23" s="28">
        <f t="shared" ca="1" si="11"/>
        <v>0</v>
      </c>
      <c r="E23" s="28">
        <f t="shared" ca="1" si="11"/>
        <v>0</v>
      </c>
      <c r="F23" s="28">
        <f t="shared" ca="1" si="11"/>
        <v>0</v>
      </c>
      <c r="G23" s="28">
        <f t="shared" ca="1" si="11"/>
        <v>0</v>
      </c>
      <c r="H23" s="28">
        <f t="shared" ca="1" si="3"/>
        <v>0</v>
      </c>
      <c r="I23" s="4">
        <f t="shared" ca="1" si="4"/>
        <v>1</v>
      </c>
      <c r="J23" s="29">
        <f t="shared" ca="1" si="12"/>
        <v>0</v>
      </c>
      <c r="K23" s="29">
        <f t="shared" ca="1" si="1"/>
        <v>0</v>
      </c>
      <c r="L23" s="29">
        <f t="shared" ca="1" si="1"/>
        <v>0</v>
      </c>
      <c r="M23" s="29">
        <f t="shared" ca="1" si="1"/>
        <v>0</v>
      </c>
      <c r="N23" s="29">
        <f t="shared" ca="1" si="1"/>
        <v>0</v>
      </c>
      <c r="O23" s="29">
        <f t="shared" ca="1" si="1"/>
        <v>0</v>
      </c>
      <c r="P23" s="28">
        <f t="shared" ca="1" si="10"/>
        <v>0</v>
      </c>
      <c r="Q23" s="27">
        <f t="shared" ca="1" si="7"/>
        <v>1</v>
      </c>
      <c r="R23" s="8">
        <f t="shared" ca="1" si="8"/>
        <v>0</v>
      </c>
      <c r="S23" s="4">
        <f t="shared" ca="1" si="9"/>
        <v>1</v>
      </c>
    </row>
    <row r="24" spans="1:19" ht="25.15" customHeight="1">
      <c r="A24" s="31" t="str">
        <f>IF(廠長!A26="","",廠長!A26)</f>
        <v>林育婷</v>
      </c>
      <c r="B24" s="28">
        <f t="shared" ca="1" si="11"/>
        <v>0</v>
      </c>
      <c r="C24" s="28">
        <f t="shared" ca="1" si="11"/>
        <v>0</v>
      </c>
      <c r="D24" s="28">
        <f t="shared" ca="1" si="11"/>
        <v>0</v>
      </c>
      <c r="E24" s="28">
        <f t="shared" ca="1" si="11"/>
        <v>0</v>
      </c>
      <c r="F24" s="28">
        <f t="shared" ca="1" si="11"/>
        <v>0</v>
      </c>
      <c r="G24" s="28">
        <f t="shared" ca="1" si="11"/>
        <v>0</v>
      </c>
      <c r="H24" s="28">
        <f t="shared" ca="1" si="3"/>
        <v>0</v>
      </c>
      <c r="I24" s="4">
        <f t="shared" ca="1" si="4"/>
        <v>1</v>
      </c>
      <c r="J24" s="29">
        <f t="shared" ca="1" si="12"/>
        <v>0</v>
      </c>
      <c r="K24" s="29">
        <f t="shared" ca="1" si="12"/>
        <v>0</v>
      </c>
      <c r="L24" s="29">
        <f t="shared" ca="1" si="12"/>
        <v>0</v>
      </c>
      <c r="M24" s="29">
        <f t="shared" ca="1" si="12"/>
        <v>0</v>
      </c>
      <c r="N24" s="29">
        <f t="shared" ca="1" si="12"/>
        <v>0</v>
      </c>
      <c r="O24" s="29">
        <f t="shared" ca="1" si="12"/>
        <v>0</v>
      </c>
      <c r="P24" s="28">
        <f t="shared" ca="1" si="10"/>
        <v>0</v>
      </c>
      <c r="Q24" s="27">
        <f t="shared" ca="1" si="7"/>
        <v>1</v>
      </c>
      <c r="R24" s="8">
        <f t="shared" ca="1" si="8"/>
        <v>0</v>
      </c>
      <c r="S24" s="4">
        <f t="shared" ca="1" si="9"/>
        <v>1</v>
      </c>
    </row>
    <row r="25" spans="1:19" ht="25.15" customHeight="1">
      <c r="A25" s="31" t="str">
        <f>IF(廠長!A27="","",廠長!A27)</f>
        <v>謝志宏</v>
      </c>
      <c r="B25" s="28">
        <f t="shared" ca="1" si="11"/>
        <v>0</v>
      </c>
      <c r="C25" s="28">
        <f t="shared" ca="1" si="11"/>
        <v>0</v>
      </c>
      <c r="D25" s="28">
        <f t="shared" ca="1" si="11"/>
        <v>0</v>
      </c>
      <c r="E25" s="28">
        <f t="shared" ca="1" si="11"/>
        <v>0</v>
      </c>
      <c r="F25" s="28">
        <f t="shared" ca="1" si="11"/>
        <v>0</v>
      </c>
      <c r="G25" s="28">
        <f t="shared" ca="1" si="11"/>
        <v>0</v>
      </c>
      <c r="H25" s="28">
        <f t="shared" ca="1" si="3"/>
        <v>0</v>
      </c>
      <c r="I25" s="4">
        <f t="shared" ca="1" si="4"/>
        <v>1</v>
      </c>
      <c r="J25" s="29">
        <f t="shared" ca="1" si="12"/>
        <v>0</v>
      </c>
      <c r="K25" s="29">
        <f t="shared" ca="1" si="12"/>
        <v>0</v>
      </c>
      <c r="L25" s="29">
        <f t="shared" ca="1" si="12"/>
        <v>0</v>
      </c>
      <c r="M25" s="29">
        <f t="shared" ca="1" si="12"/>
        <v>0</v>
      </c>
      <c r="N25" s="29">
        <f t="shared" ca="1" si="12"/>
        <v>0</v>
      </c>
      <c r="O25" s="29">
        <f t="shared" ca="1" si="12"/>
        <v>0</v>
      </c>
      <c r="P25" s="28">
        <f t="shared" ca="1" si="10"/>
        <v>0</v>
      </c>
      <c r="Q25" s="27">
        <f t="shared" ca="1" si="7"/>
        <v>1</v>
      </c>
      <c r="R25" s="8">
        <f t="shared" ca="1" si="8"/>
        <v>0</v>
      </c>
      <c r="S25" s="4">
        <f t="shared" ca="1" si="9"/>
        <v>1</v>
      </c>
    </row>
    <row r="26" spans="1:19" ht="25.15" customHeight="1">
      <c r="A26" s="31" t="str">
        <f>IF(廠長!A28="","",廠長!A28)</f>
        <v/>
      </c>
      <c r="B26" s="28">
        <f t="shared" ca="1" si="11"/>
        <v>0</v>
      </c>
      <c r="C26" s="28">
        <f t="shared" ca="1" si="11"/>
        <v>0</v>
      </c>
      <c r="D26" s="28">
        <f t="shared" ca="1" si="11"/>
        <v>0</v>
      </c>
      <c r="E26" s="28">
        <f t="shared" ca="1" si="11"/>
        <v>0</v>
      </c>
      <c r="F26" s="28">
        <f t="shared" ca="1" si="11"/>
        <v>0</v>
      </c>
      <c r="G26" s="28">
        <f t="shared" ca="1" si="11"/>
        <v>0</v>
      </c>
      <c r="H26" s="28">
        <f t="shared" ca="1" si="3"/>
        <v>0</v>
      </c>
      <c r="I26" s="4">
        <f t="shared" ca="1" si="4"/>
        <v>1</v>
      </c>
      <c r="J26" s="29">
        <f t="shared" ca="1" si="12"/>
        <v>0</v>
      </c>
      <c r="K26" s="29">
        <f t="shared" ca="1" si="12"/>
        <v>0</v>
      </c>
      <c r="L26" s="29">
        <f t="shared" ca="1" si="12"/>
        <v>0</v>
      </c>
      <c r="M26" s="29">
        <f t="shared" ca="1" si="12"/>
        <v>0</v>
      </c>
      <c r="N26" s="29">
        <f t="shared" ca="1" si="12"/>
        <v>0</v>
      </c>
      <c r="O26" s="29">
        <f t="shared" ca="1" si="12"/>
        <v>0</v>
      </c>
      <c r="P26" s="28">
        <f t="shared" ca="1" si="10"/>
        <v>0</v>
      </c>
      <c r="Q26" s="27">
        <f t="shared" ca="1" si="7"/>
        <v>1</v>
      </c>
      <c r="R26" s="8">
        <f t="shared" ca="1" si="8"/>
        <v>0</v>
      </c>
      <c r="S26" s="4">
        <f t="shared" ca="1" si="9"/>
        <v>1</v>
      </c>
    </row>
    <row r="27" spans="1:19" ht="25.15" customHeight="1">
      <c r="A27" s="31" t="str">
        <f>IF(廠長!A29="","",廠長!A29)</f>
        <v/>
      </c>
      <c r="B27" s="28">
        <f t="shared" ca="1" si="11"/>
        <v>0</v>
      </c>
      <c r="C27" s="28">
        <f t="shared" ca="1" si="11"/>
        <v>0</v>
      </c>
      <c r="D27" s="28">
        <f t="shared" ca="1" si="11"/>
        <v>0</v>
      </c>
      <c r="E27" s="28">
        <f t="shared" ca="1" si="11"/>
        <v>0</v>
      </c>
      <c r="F27" s="28">
        <f t="shared" ca="1" si="11"/>
        <v>0</v>
      </c>
      <c r="G27" s="28">
        <f t="shared" ca="1" si="11"/>
        <v>0</v>
      </c>
      <c r="H27" s="28">
        <f t="shared" ca="1" si="3"/>
        <v>0</v>
      </c>
      <c r="I27" s="4">
        <f t="shared" ca="1" si="4"/>
        <v>1</v>
      </c>
      <c r="J27" s="29">
        <f t="shared" ca="1" si="12"/>
        <v>0</v>
      </c>
      <c r="K27" s="29">
        <f t="shared" ca="1" si="12"/>
        <v>0</v>
      </c>
      <c r="L27" s="29">
        <f t="shared" ca="1" si="12"/>
        <v>0</v>
      </c>
      <c r="M27" s="29">
        <f t="shared" ca="1" si="12"/>
        <v>0</v>
      </c>
      <c r="N27" s="29">
        <f t="shared" ca="1" si="12"/>
        <v>0</v>
      </c>
      <c r="O27" s="29">
        <f t="shared" ca="1" si="12"/>
        <v>0</v>
      </c>
      <c r="P27" s="28">
        <f t="shared" ca="1" si="10"/>
        <v>0</v>
      </c>
      <c r="Q27" s="27">
        <f t="shared" ca="1" si="7"/>
        <v>1</v>
      </c>
      <c r="R27" s="8">
        <f t="shared" ca="1" si="8"/>
        <v>0</v>
      </c>
      <c r="S27" s="4">
        <f t="shared" ca="1" si="9"/>
        <v>1</v>
      </c>
    </row>
    <row r="28" spans="1:19" ht="25.15" customHeight="1">
      <c r="A28" s="31" t="str">
        <f>IF(廠長!A30="","",廠長!A30)</f>
        <v/>
      </c>
      <c r="B28" s="28">
        <f t="shared" ca="1" si="11"/>
        <v>0</v>
      </c>
      <c r="C28" s="28">
        <f t="shared" ca="1" si="11"/>
        <v>0</v>
      </c>
      <c r="D28" s="28">
        <f t="shared" ca="1" si="11"/>
        <v>0</v>
      </c>
      <c r="E28" s="28">
        <f t="shared" ca="1" si="11"/>
        <v>0</v>
      </c>
      <c r="F28" s="28">
        <f t="shared" ca="1" si="11"/>
        <v>0</v>
      </c>
      <c r="G28" s="28">
        <f t="shared" ca="1" si="11"/>
        <v>0</v>
      </c>
      <c r="H28" s="28">
        <f t="shared" ca="1" si="3"/>
        <v>0</v>
      </c>
      <c r="I28" s="4">
        <f t="shared" ca="1" si="4"/>
        <v>1</v>
      </c>
      <c r="J28" s="29">
        <f t="shared" ca="1" si="12"/>
        <v>0</v>
      </c>
      <c r="K28" s="29">
        <f t="shared" ca="1" si="12"/>
        <v>0</v>
      </c>
      <c r="L28" s="29">
        <f t="shared" ca="1" si="12"/>
        <v>0</v>
      </c>
      <c r="M28" s="29">
        <f t="shared" ca="1" si="12"/>
        <v>0</v>
      </c>
      <c r="N28" s="29">
        <f t="shared" ca="1" si="12"/>
        <v>0</v>
      </c>
      <c r="O28" s="29">
        <f t="shared" ca="1" si="12"/>
        <v>0</v>
      </c>
      <c r="P28" s="28">
        <f t="shared" ca="1" si="10"/>
        <v>0</v>
      </c>
      <c r="Q28" s="27">
        <f t="shared" ca="1" si="7"/>
        <v>1</v>
      </c>
      <c r="R28" s="8">
        <f t="shared" ca="1" si="8"/>
        <v>0</v>
      </c>
      <c r="S28" s="4">
        <f t="shared" ca="1" si="9"/>
        <v>1</v>
      </c>
    </row>
    <row r="29" spans="1:19" ht="25.15" customHeight="1">
      <c r="A29" s="31" t="str">
        <f>IF(廠長!A31="","",廠長!A31)</f>
        <v/>
      </c>
      <c r="B29" s="28">
        <f t="shared" ca="1" si="11"/>
        <v>0</v>
      </c>
      <c r="C29" s="28">
        <f t="shared" ca="1" si="11"/>
        <v>0</v>
      </c>
      <c r="D29" s="28">
        <f t="shared" ca="1" si="11"/>
        <v>0</v>
      </c>
      <c r="E29" s="28">
        <f t="shared" ca="1" si="11"/>
        <v>0</v>
      </c>
      <c r="F29" s="28">
        <f t="shared" ca="1" si="11"/>
        <v>0</v>
      </c>
      <c r="G29" s="28">
        <f t="shared" ca="1" si="11"/>
        <v>0</v>
      </c>
      <c r="H29" s="28">
        <f t="shared" ca="1" si="3"/>
        <v>0</v>
      </c>
      <c r="I29" s="4">
        <f t="shared" ca="1" si="4"/>
        <v>1</v>
      </c>
      <c r="J29" s="29">
        <f t="shared" ca="1" si="12"/>
        <v>0</v>
      </c>
      <c r="K29" s="29">
        <f t="shared" ca="1" si="12"/>
        <v>0</v>
      </c>
      <c r="L29" s="29">
        <f t="shared" ca="1" si="12"/>
        <v>0</v>
      </c>
      <c r="M29" s="29">
        <f t="shared" ca="1" si="12"/>
        <v>0</v>
      </c>
      <c r="N29" s="29">
        <f t="shared" ca="1" si="12"/>
        <v>0</v>
      </c>
      <c r="O29" s="29">
        <f t="shared" ca="1" si="12"/>
        <v>0</v>
      </c>
      <c r="P29" s="28">
        <f t="shared" ca="1" si="10"/>
        <v>0</v>
      </c>
      <c r="Q29" s="27">
        <f t="shared" ca="1" si="7"/>
        <v>1</v>
      </c>
      <c r="R29" s="8">
        <f t="shared" ca="1" si="8"/>
        <v>0</v>
      </c>
      <c r="S29" s="4">
        <f t="shared" ca="1" si="9"/>
        <v>1</v>
      </c>
    </row>
    <row r="30" spans="1:19" ht="25.15" customHeight="1">
      <c r="A30" s="31" t="str">
        <f>IF(廠長!A32="","",廠長!A32)</f>
        <v/>
      </c>
      <c r="B30" s="28">
        <f t="shared" ca="1" si="11"/>
        <v>0</v>
      </c>
      <c r="C30" s="28">
        <f t="shared" ca="1" si="11"/>
        <v>0</v>
      </c>
      <c r="D30" s="28">
        <f t="shared" ca="1" si="11"/>
        <v>0</v>
      </c>
      <c r="E30" s="28">
        <f t="shared" ca="1" si="11"/>
        <v>0</v>
      </c>
      <c r="F30" s="28">
        <f t="shared" ca="1" si="11"/>
        <v>0</v>
      </c>
      <c r="G30" s="28">
        <f t="shared" ca="1" si="11"/>
        <v>0</v>
      </c>
      <c r="H30" s="28">
        <f t="shared" ca="1" si="3"/>
        <v>0</v>
      </c>
      <c r="I30" s="4">
        <f t="shared" ca="1" si="4"/>
        <v>1</v>
      </c>
      <c r="J30" s="29">
        <f t="shared" ca="1" si="12"/>
        <v>0</v>
      </c>
      <c r="K30" s="29">
        <f t="shared" ca="1" si="12"/>
        <v>0</v>
      </c>
      <c r="L30" s="29">
        <f t="shared" ca="1" si="12"/>
        <v>0</v>
      </c>
      <c r="M30" s="29">
        <f t="shared" ca="1" si="12"/>
        <v>0</v>
      </c>
      <c r="N30" s="29">
        <f t="shared" ca="1" si="12"/>
        <v>0</v>
      </c>
      <c r="O30" s="29">
        <f t="shared" ca="1" si="12"/>
        <v>0</v>
      </c>
      <c r="P30" s="28">
        <f t="shared" ca="1" si="10"/>
        <v>0</v>
      </c>
      <c r="Q30" s="27">
        <f t="shared" ca="1" si="7"/>
        <v>1</v>
      </c>
      <c r="R30" s="8">
        <f t="shared" ca="1" si="8"/>
        <v>0</v>
      </c>
      <c r="S30" s="4">
        <f t="shared" ca="1" si="9"/>
        <v>1</v>
      </c>
    </row>
    <row r="32" spans="1:19" ht="25.15" customHeight="1">
      <c r="G32" s="30"/>
      <c r="H32" s="30"/>
      <c r="I32" s="30"/>
    </row>
    <row r="33" spans="7:9" ht="25.15" customHeight="1">
      <c r="G33" s="30"/>
      <c r="H33" s="30"/>
      <c r="I33" s="30"/>
    </row>
    <row r="34" spans="7:9" ht="25.15" customHeight="1">
      <c r="G34" s="30"/>
      <c r="H34" s="30"/>
      <c r="I34" s="30"/>
    </row>
    <row r="35" spans="7:9" ht="25.15" customHeight="1">
      <c r="G35" s="30"/>
      <c r="H35" s="30"/>
      <c r="I35" s="30"/>
    </row>
    <row r="36" spans="7:9" ht="25.15" customHeight="1">
      <c r="G36" s="30"/>
      <c r="H36" s="30"/>
      <c r="I36" s="30"/>
    </row>
    <row r="37" spans="7:9" ht="25.15" customHeight="1">
      <c r="G37" s="30"/>
      <c r="H37" s="30"/>
      <c r="I37" s="30"/>
    </row>
    <row r="38" spans="7:9" ht="25.15" customHeight="1">
      <c r="G38" s="30"/>
      <c r="H38" s="30"/>
      <c r="I38" s="30"/>
    </row>
    <row r="39" spans="7:9" ht="25.15" customHeight="1">
      <c r="G39" s="30"/>
      <c r="H39" s="30"/>
      <c r="I39" s="30"/>
    </row>
    <row r="40" spans="7:9" ht="25.15" customHeight="1">
      <c r="G40" s="30"/>
      <c r="H40" s="30"/>
      <c r="I40" s="30"/>
    </row>
    <row r="41" spans="7:9" ht="25.15" customHeight="1">
      <c r="G41" s="30"/>
      <c r="H41" s="30"/>
      <c r="I41" s="30"/>
    </row>
    <row r="42" spans="7:9" ht="25.15" customHeight="1">
      <c r="G42" s="30"/>
      <c r="H42" s="30"/>
      <c r="I42" s="30"/>
    </row>
    <row r="43" spans="7:9" ht="25.15" customHeight="1">
      <c r="G43" s="30"/>
      <c r="H43" s="30"/>
      <c r="I43" s="30"/>
    </row>
    <row r="44" spans="7:9" ht="25.15" customHeight="1">
      <c r="G44" s="30"/>
      <c r="H44" s="30"/>
      <c r="I44" s="30"/>
    </row>
    <row r="45" spans="7:9" ht="25.15" customHeight="1">
      <c r="G45" s="30"/>
      <c r="H45" s="30"/>
      <c r="I45" s="30"/>
    </row>
    <row r="46" spans="7:9" ht="25.15" customHeight="1">
      <c r="G46" s="30"/>
      <c r="H46" s="30"/>
      <c r="I46" s="30"/>
    </row>
    <row r="47" spans="7:9" ht="25.15" customHeight="1">
      <c r="G47" s="30"/>
      <c r="H47" s="30"/>
      <c r="I47" s="30"/>
    </row>
    <row r="48" spans="7:9" ht="25.15" customHeight="1">
      <c r="G48" s="30"/>
      <c r="H48" s="30"/>
      <c r="I48" s="30"/>
    </row>
    <row r="49" spans="7:9" ht="25.15" customHeight="1">
      <c r="G49" s="30"/>
      <c r="H49" s="30"/>
      <c r="I49" s="30"/>
    </row>
    <row r="50" spans="7:9" ht="25.15" customHeight="1">
      <c r="G50" s="30"/>
      <c r="H50" s="30"/>
      <c r="I50" s="30"/>
    </row>
    <row r="54" spans="7:9" ht="25.15" customHeight="1">
      <c r="G54" s="30"/>
      <c r="H54" s="30"/>
      <c r="I54" s="30"/>
    </row>
  </sheetData>
  <dataConsolidate>
    <dataRefs count="1">
      <dataRef ref="H2" sheet="1月" r:id="rId1"/>
    </dataRefs>
  </dataConsolidate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horizontalDpi="180" verticalDpi="18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首頁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user</cp:lastModifiedBy>
  <cp:lastPrinted>2020-04-15T00:26:55Z</cp:lastPrinted>
  <dcterms:created xsi:type="dcterms:W3CDTF">2020-04-14T06:37:03Z</dcterms:created>
  <dcterms:modified xsi:type="dcterms:W3CDTF">2021-01-22T07:54:19Z</dcterms:modified>
</cp:coreProperties>
</file>